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RawData" sheetId="2" state="visible" r:id="rId4"/>
    <sheet name="Q1a-SalaryMeanCI" sheetId="3" state="visible" r:id="rId5"/>
    <sheet name="Q1b-SalaryPropCI" sheetId="4" state="visible" r:id="rId6"/>
    <sheet name="Q2a-RoadMeanCI" sheetId="5" state="visible" r:id="rId7"/>
    <sheet name="Q2b-RoadPropCI" sheetId="6" state="visible" r:id="rId8"/>
    <sheet name="Q3-TenureCI" sheetId="7" state="visible" r:id="rId9"/>
    <sheet name="Q4-StateUnivCI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<sst xmlns="http://schemas.openxmlformats.org/spreadsheetml/2006/main" count="392" uniqueCount="115">
  <si>
    <t xml:space="preserve">D&amp;Y CONSULTING — Employee Retention Confidence Interval Analysis</t>
  </si>
  <si>
    <t xml:space="preserve">Case Study Summary | Navigate via sheet tabs below | All CIs at 95% confidence level</t>
  </si>
  <si>
    <t xml:space="preserve">Analysis</t>
  </si>
  <si>
    <t xml:space="preserve">Group 1 — Lower</t>
  </si>
  <si>
    <t xml:space="preserve">Group 1 — Upper</t>
  </si>
  <si>
    <t xml:space="preserve">Sheet Reference</t>
  </si>
  <si>
    <t xml:space="preserve">Q1a: Mean Starting Salary — Stayed ≥3 Yrs</t>
  </si>
  <si>
    <t xml:space="preserve">Q1a-SalaryMeanCI</t>
  </si>
  <si>
    <t xml:space="preserve">Q1a: Mean Starting Salary — Left &lt;3 Yrs</t>
  </si>
  <si>
    <t xml:space="preserve">Q1a: Difference in Mean Salary (Stayed−Left)</t>
  </si>
  <si>
    <t xml:space="preserve">Q1b: Prop Staying — Below Median Salary</t>
  </si>
  <si>
    <t xml:space="preserve">Q1b-SalaryPropCI</t>
  </si>
  <si>
    <t xml:space="preserve">Q1b: Prop Staying — Above Median Salary</t>
  </si>
  <si>
    <t xml:space="preserve">Q1b: Difference in Proportions</t>
  </si>
  <si>
    <t xml:space="preserve">Q2a: Mean % on Road — Stayed ≥3 Yrs</t>
  </si>
  <si>
    <t xml:space="preserve">Q2a-RoadMeanCI</t>
  </si>
  <si>
    <t xml:space="preserve">Q2a: Mean % on Road — Left &lt;3 Yrs</t>
  </si>
  <si>
    <t xml:space="preserve">Q2a: Difference in Mean Road % (Stayed−Left)</t>
  </si>
  <si>
    <t xml:space="preserve">Q2b: Prop Staying — Low Road (≤54%)</t>
  </si>
  <si>
    <t xml:space="preserve">Q2b-RoadPropCI</t>
  </si>
  <si>
    <t xml:space="preserve">Q2b: Prop Staying — High Road (&gt;54%)</t>
  </si>
  <si>
    <t xml:space="preserve">Q2b: Difference in Proportions</t>
  </si>
  <si>
    <t xml:space="preserve">Q3: Mean Tenure of Leavers (months)</t>
  </si>
  <si>
    <t xml:space="preserve">Q3-TenureCI</t>
  </si>
  <si>
    <t xml:space="preserve">Q4: Retention Prop — State Univ Grads</t>
  </si>
  <si>
    <t xml:space="preserve">Q4-StateUnivCI</t>
  </si>
  <si>
    <t xml:space="preserve">Q4: Retention Prop — Non-State Univ</t>
  </si>
  <si>
    <t xml:space="preserve">Q4: Difference in Retention (SU − Non-SU)</t>
  </si>
  <si>
    <t xml:space="preserve">Workbook Navigation &amp; Color Guide</t>
  </si>
  <si>
    <t xml:space="preserve">  </t>
  </si>
  <si>
    <t xml:space="preserve">Input data and intermediate calculation rows</t>
  </si>
  <si>
    <t xml:space="preserve">Final 95% Confidence Interval results (Lower &amp; Upper Bounds)</t>
  </si>
  <si>
    <t xml:space="preserve">Interpretation and conclusion notes</t>
  </si>
  <si>
    <t xml:space="preserve">Explanatory notes for limitations (e.g., censored data)</t>
  </si>
  <si>
    <t xml:space="preserve">D&amp;Y Consulting – Employee Retention Dataset</t>
  </si>
  <si>
    <t xml:space="preserve">Employee</t>
  </si>
  <si>
    <t xml:space="preserve">Starting Salary</t>
  </si>
  <si>
    <t xml:space="preserve">On Road Pct</t>
  </si>
  <si>
    <t xml:space="preserve">State Univ</t>
  </si>
  <si>
    <t xml:space="preserve">CIS Degree</t>
  </si>
  <si>
    <t xml:space="preserve">Stayed 3 Years</t>
  </si>
  <si>
    <t xml:space="preserve">Tenure</t>
  </si>
  <si>
    <t xml:space="preserve">Yes</t>
  </si>
  <si>
    <t xml:space="preserve">No</t>
  </si>
  <si>
    <t xml:space="preserve">Q1(a): 95% Confidence Intervals — Mean Starting Salary by Retention Group</t>
  </si>
  <si>
    <t xml:space="preserve">Statistic</t>
  </si>
  <si>
    <t xml:space="preserve">Stayed ≥ 3 Years</t>
  </si>
  <si>
    <t xml:space="preserve">Left &lt; 3 Years</t>
  </si>
  <si>
    <t xml:space="preserve">All Employees</t>
  </si>
  <si>
    <t xml:space="preserve">Sample Size (n)</t>
  </si>
  <si>
    <t xml:space="preserve">Sample Mean</t>
  </si>
  <si>
    <t xml:space="preserve">Sample Std Dev</t>
  </si>
  <si>
    <t xml:space="preserve">Std Error (s/√n)</t>
  </si>
  <si>
    <t xml:space="preserve">Degrees of Freedom (n-1)</t>
  </si>
  <si>
    <t xml:space="preserve">t* Critical Value (95%)</t>
  </si>
  <si>
    <t xml:space="preserve">Margin of Error</t>
  </si>
  <si>
    <t xml:space="preserve">95% CI — Lower Bound ✦</t>
  </si>
  <si>
    <t xml:space="preserve">95% CI — Upper Bound ✦</t>
  </si>
  <si>
    <t xml:space="preserve">✦ = Key result rows. Std Dev uses SUMPRODUCT-based conditional formula (no array entry needed).</t>
  </si>
  <si>
    <t xml:space="preserve">95% CI for Difference in Means (Stayed − Left)</t>
  </si>
  <si>
    <t xml:space="preserve">Mean (Stayed)</t>
  </si>
  <si>
    <t xml:space="preserve">Mean (Left)</t>
  </si>
  <si>
    <t xml:space="preserve">Point Estimate (Diff = Stayed − Left)</t>
  </si>
  <si>
    <t xml:space="preserve">SE of Difference (Welch)</t>
  </si>
  <si>
    <t xml:space="preserve">Welch df</t>
  </si>
  <si>
    <t xml:space="preserve">t* (95%, Welch df)</t>
  </si>
  <si>
    <t xml:space="preserve">📊 INTERPRETATION — Q1(a): The two CIs for mean starting salary show the range within which the true mean salary lies for each group (95% confidence). If the CI for the difference (Stayed − Left) contains 0, starting salary is NOT a statistically significant predictor of retention. Substantial overlap of the individual group CIs also suggests minimal salary impact on staying.</t>
  </si>
  <si>
    <t xml:space="preserve">Q1(b): 95% CI for Proportion Staying ≥ 3 Years — by Starting Salary vs. Median</t>
  </si>
  <si>
    <t xml:space="preserve">Median Reference</t>
  </si>
  <si>
    <t xml:space="preserve">Median used (given in case)</t>
  </si>
  <si>
    <t xml:space="preserve">Case states median = $37,500</t>
  </si>
  <si>
    <t xml:space="preserve">Below Median ($≤37,500)</t>
  </si>
  <si>
    <t xml:space="preserve">Above Median ($&gt;37,500)</t>
  </si>
  <si>
    <t xml:space="preserve">Total in group (n)</t>
  </si>
  <si>
    <t xml:space="preserve">Stayed ≥ 3 Years (x)</t>
  </si>
  <si>
    <t xml:space="preserve">Sample Proportion p̂ = x/n</t>
  </si>
  <si>
    <t xml:space="preserve">SE = √(p̂(1−p̂)/n)</t>
  </si>
  <si>
    <t xml:space="preserve">z* Critical Value (95%)</t>
  </si>
  <si>
    <t xml:space="preserve">95% CI for Difference in Proportions (Group 1 − Group 2)</t>
  </si>
  <si>
    <t xml:space="preserve">p̂ Group 1</t>
  </si>
  <si>
    <t xml:space="preserve">p̂ Group 2</t>
  </si>
  <si>
    <t xml:space="preserve">Point Estimate (diff)</t>
  </si>
  <si>
    <t xml:space="preserve">SE of Difference</t>
  </si>
  <si>
    <t xml:space="preserve">z* (95%)</t>
  </si>
  <si>
    <t xml:space="preserve">📊 INTERPRETATION — Q1(b): Compare retention rates between employees earning above vs. below the median starting salary. If the 95% CI for the difference contains 0, salary level relative to the median does not significantly affect the likelihood of staying ≥ 3 years at D&amp;Y.</t>
  </si>
  <si>
    <t xml:space="preserve">Q2(a): 95% Confidence Intervals — Mean % Time on Road by Retention Group</t>
  </si>
  <si>
    <t xml:space="preserve">📊 INTERPRETATION — Q2(a): Employees who leave tend to have a higher % of time on the road. If the CI for the difference (Stayed − Left) is entirely below 0, those who stay spent significantly less time on the road — suggesting travel burden is a key driver of attrition.</t>
  </si>
  <si>
    <t xml:space="preserve">Q2(b): 95% CI for Proportion Staying ≥ 3 Years — by % on Road vs. Median (54%)</t>
  </si>
  <si>
    <t xml:space="preserve">Case states median = 54%</t>
  </si>
  <si>
    <t xml:space="preserve">Low Road (≤54%)</t>
  </si>
  <si>
    <t xml:space="preserve">High Road (&gt;54%)</t>
  </si>
  <si>
    <t xml:space="preserve">📊 INTERPRETATION — Q2(b): If the low-road group has a significantly higher retention rate, travel burden is confirmed as a retention risk. A CI for the difference that excludes 0 (and is positive) means low-road employees are statistically more likely to stay ≥ 3 years.</t>
  </si>
  <si>
    <t xml:space="preserve">Q3: 95% CI for Mean Tenure (months) — Employees Who Left within 3 Years</t>
  </si>
  <si>
    <t xml:space="preserve">Value</t>
  </si>
  <si>
    <t xml:space="preserve">n (employees who left — have Tenure recorded)</t>
  </si>
  <si>
    <t xml:space="preserve">Sample Mean Tenure (months)</t>
  </si>
  <si>
    <t xml:space="preserve">Sample Std Dev of Tenure</t>
  </si>
  <si>
    <t xml:space="preserve">Std Error (SE = s/√n)</t>
  </si>
  <si>
    <t xml:space="preserve">t* Critical Value (95%, two-tail)</t>
  </si>
  <si>
    <t xml:space="preserve">Margin of Error (months)</t>
  </si>
  <si>
    <t xml:space="preserve">95% CI — Lower Bound ✦ (months)</t>
  </si>
  <si>
    <t xml:space="preserve">95% CI — Upper Bound ✦ (months)</t>
  </si>
  <si>
    <t xml:space="preserve">* Mean Tenure uses AVERAGE(IF()) — enter as array formula (Ctrl+Shift+Enter) if needed.</t>
  </si>
  <si>
    <t xml:space="preserve">Why No CI for ALL Employees (Including Those Still at D&amp;Y)?</t>
  </si>
  <si>
    <t xml:space="preserve">Employees who stayed ≥ 3 years have NO Tenure value recorded — their employment is ongoing and their final tenure is unknown (right-censored data). A standard confidence interval for the mean requires complete, observed values for all units. Since we cannot observe when (or if) current employees will eventually leave, we cannot calculate a valid CI for mean tenure across ALL D&amp;Y employees. Advanced survival analysis (e.g., Kaplan-Meier) would be required to handle censored observations.</t>
  </si>
  <si>
    <t xml:space="preserve">Q4: Are State University CIS Graduates Harder to Retain? — Proportion CI Analysis</t>
  </si>
  <si>
    <t xml:space="preserve">State Univ Grads</t>
  </si>
  <si>
    <t xml:space="preserve">Non-State Univ</t>
  </si>
  <si>
    <t xml:space="preserve">Total in group</t>
  </si>
  <si>
    <t xml:space="preserve">Number who stayed ≥ 3 years</t>
  </si>
  <si>
    <t xml:space="preserve">Sample Proportion p̂ who stayed</t>
  </si>
  <si>
    <t xml:space="preserve">95% CI for Difference in Retention (State Univ − Non-State Univ)</t>
  </si>
  <si>
    <t xml:space="preserve">p̂ State University Graduates</t>
  </si>
  <si>
    <t xml:space="preserve">p̂ Non-State University</t>
  </si>
  <si>
    <t xml:space="preserve">📊 INTERPRETATION — Q4: If the CI for the difference (State Univ − Non-State Univ) is entirely BELOW 0, State Univ graduates have a significantly LOWER retention rate — they ARE harder to retain. If the CI contains 0, there is no statistically significant difference in retention between the two groups. Check CIS-specific graduates using the CIS Degree filter for deeper insight.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</si>
</sst>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0"/>
    <numFmt numFmtId="166" formatCode="0.0%"/>
    <numFmt numFmtId="167" formatCode="0.00"/>
    <numFmt numFmtId="168" formatCode="\$#,##0"/>
    <numFmt numFmtId="169" formatCode="0"/>
    <numFmt numFmtId="170" formatCode="0.0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375623"/>
      <name val="Arial"/>
      <family val="0"/>
      <charset val="1"/>
    </font>
    <font>
      <i val="true"/>
      <sz val="10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2F5496"/>
      </patternFill>
    </fill>
    <fill>
      <patternFill patternType="solid">
        <fgColor rgb="FF2F5496"/>
        <bgColor rgb="FF2E75B6"/>
      </patternFill>
    </fill>
    <fill>
      <patternFill patternType="solid">
        <fgColor rgb="FF2E75B6"/>
        <bgColor rgb="FF2F5496"/>
      </patternFill>
    </fill>
    <fill>
      <patternFill patternType="solid">
        <fgColor rgb="FFDEEAF1"/>
        <bgColor rgb="FFE2EFDA"/>
      </patternFill>
    </fill>
    <fill>
      <patternFill patternType="solid">
        <fgColor rgb="FFE2EFDA"/>
        <bgColor rgb="FFDEEAF1"/>
      </patternFill>
    </fill>
    <fill>
      <patternFill patternType="solid">
        <fgColor rgb="FFFFFFFF"/>
        <bgColor rgb="FFF2F9FF"/>
      </patternFill>
    </fill>
    <fill>
      <patternFill patternType="solid">
        <fgColor rgb="FF595959"/>
        <bgColor rgb="FF375623"/>
      </patternFill>
    </fill>
    <fill>
      <patternFill patternType="solid">
        <fgColor rgb="FFF2F2F2"/>
        <bgColor rgb="FFF2F9FF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2F9FF"/>
        <bgColor rgb="FFF2F2F2"/>
      </patternFill>
    </fill>
    <fill>
      <patternFill patternType="solid">
        <fgColor rgb="FFC55A11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9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9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1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9FF"/>
      <rgbColor rgb="FFE2EFDA"/>
      <rgbColor rgb="FFF2F2F2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C55A1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16"/>
  </cols>
  <sheetData>
    <row r="1" customFormat="false" ht="36" hidden="false" customHeight="true" outlineLevel="0" collapsed="false">
      <c r="A1" s="1" t="s">
        <v>0</v>
      </c>
      <c r="B1" s="1"/>
      <c r="C1" s="1"/>
      <c r="D1" s="1"/>
    </row>
    <row r="2" customFormat="false" ht="21.75" hidden="false" customHeight="true" outlineLevel="0" collapsed="false">
      <c r="A2" s="2" t="s">
        <v>1</v>
      </c>
      <c r="B2" s="2"/>
      <c r="C2" s="2"/>
      <c r="D2" s="2"/>
    </row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8" hidden="false" customHeight="true" outlineLevel="0" collapsed="false">
      <c r="A5" s="4" t="s">
        <v>6</v>
      </c>
      <c r="B5" s="5" t="n">
        <f aca="false">'Q1a-SalaryMeanCI'!B11</f>
        <v>36730.1238949477</v>
      </c>
      <c r="C5" s="5" t="n">
        <f aca="false">'Q1a-SalaryMeanCI'!B12</f>
        <v>38032.3761050523</v>
      </c>
      <c r="D5" s="6" t="s">
        <v>7</v>
      </c>
    </row>
    <row r="6" customFormat="false" ht="18" hidden="false" customHeight="true" outlineLevel="0" collapsed="false">
      <c r="A6" s="7" t="s">
        <v>8</v>
      </c>
      <c r="B6" s="5" t="n">
        <f aca="false">'Q1a-SalaryMeanCI'!C11</f>
        <v>37897.4252492317</v>
      </c>
      <c r="C6" s="5" t="n">
        <f aca="false">'Q1a-SalaryMeanCI'!C12</f>
        <v>39214.3394566506</v>
      </c>
      <c r="D6" s="8" t="s">
        <v>7</v>
      </c>
    </row>
    <row r="7" customFormat="false" ht="18" hidden="false" customHeight="true" outlineLevel="0" collapsed="false">
      <c r="A7" s="4" t="s">
        <v>9</v>
      </c>
      <c r="B7" s="5" t="n">
        <f aca="false">'Q1a-SalaryMeanCI'!B23</f>
        <v>-2083.09537943479</v>
      </c>
      <c r="C7" s="5" t="n">
        <f aca="false">'Q1a-SalaryMeanCI'!B24</f>
        <v>-266.169326447558</v>
      </c>
      <c r="D7" s="6" t="s">
        <v>7</v>
      </c>
    </row>
    <row r="8" customFormat="false" ht="18" hidden="false" customHeight="true" outlineLevel="0" collapsed="false">
      <c r="A8" s="7" t="s">
        <v>10</v>
      </c>
      <c r="B8" s="9" t="n">
        <f aca="false">'Q1b-SalaryPropCI'!B13</f>
        <v>0.444092505646695</v>
      </c>
      <c r="C8" s="9" t="n">
        <f aca="false">'Q1b-SalaryPropCI'!B14</f>
        <v>0.797286804698133</v>
      </c>
      <c r="D8" s="8" t="s">
        <v>11</v>
      </c>
    </row>
    <row r="9" customFormat="false" ht="18" hidden="false" customHeight="true" outlineLevel="0" collapsed="false">
      <c r="A9" s="4" t="s">
        <v>12</v>
      </c>
      <c r="B9" s="9" t="n">
        <f aca="false">'Q1b-SalaryPropCI'!C13</f>
        <v>0.222109159694901</v>
      </c>
      <c r="C9" s="9" t="n">
        <f aca="false">'Q1b-SalaryPropCI'!C14</f>
        <v>0.534647597061856</v>
      </c>
      <c r="D9" s="6" t="s">
        <v>11</v>
      </c>
    </row>
    <row r="10" customFormat="false" ht="18" hidden="false" customHeight="true" outlineLevel="0" collapsed="false">
      <c r="A10" s="7" t="s">
        <v>13</v>
      </c>
      <c r="B10" s="9" t="n">
        <f aca="false">'Q1b-SalaryPropCI'!B24</f>
        <v>0.00650071314483514</v>
      </c>
      <c r="C10" s="9" t="n">
        <f aca="false">'Q1b-SalaryPropCI'!B25</f>
        <v>0.478121840443236</v>
      </c>
      <c r="D10" s="8" t="s">
        <v>11</v>
      </c>
    </row>
    <row r="11" customFormat="false" ht="18" hidden="false" customHeight="true" outlineLevel="0" collapsed="false">
      <c r="A11" s="4" t="s">
        <v>14</v>
      </c>
      <c r="B11" s="9" t="n">
        <f aca="false">'Q2a-RoadMeanCI'!B11</f>
        <v>0.390265139457968</v>
      </c>
      <c r="C11" s="9" t="n">
        <f aca="false">'Q2a-RoadMeanCI'!B12</f>
        <v>0.510359860542033</v>
      </c>
      <c r="D11" s="6" t="s">
        <v>15</v>
      </c>
    </row>
    <row r="12" customFormat="false" ht="18" hidden="false" customHeight="true" outlineLevel="0" collapsed="false">
      <c r="A12" s="7" t="s">
        <v>16</v>
      </c>
      <c r="B12" s="9" t="n">
        <f aca="false">'Q2a-RoadMeanCI'!C11</f>
        <v>0.529138429866459</v>
      </c>
      <c r="C12" s="9" t="n">
        <f aca="false">'Q2a-RoadMeanCI'!C12</f>
        <v>0.644390981898247</v>
      </c>
      <c r="D12" s="8" t="s">
        <v>15</v>
      </c>
    </row>
    <row r="13" customFormat="false" ht="18" hidden="false" customHeight="true" outlineLevel="0" collapsed="false">
      <c r="A13" s="4" t="s">
        <v>17</v>
      </c>
      <c r="B13" s="9" t="n">
        <f aca="false">'Q2a-RoadMeanCI'!B23</f>
        <v>-0.218093625811304</v>
      </c>
      <c r="C13" s="9" t="n">
        <f aca="false">'Q2a-RoadMeanCI'!B24</f>
        <v>-0.0548107859534016</v>
      </c>
      <c r="D13" s="6" t="s">
        <v>15</v>
      </c>
    </row>
    <row r="14" customFormat="false" ht="18" hidden="false" customHeight="true" outlineLevel="0" collapsed="false">
      <c r="A14" s="7" t="s">
        <v>18</v>
      </c>
      <c r="B14" s="9" t="n">
        <f aca="false">'Q2b-RoadPropCI'!B13</f>
        <v>0.472237611276043</v>
      </c>
      <c r="C14" s="9" t="n">
        <f aca="false">'Q2b-RoadPropCI'!B14</f>
        <v>0.800489661451229</v>
      </c>
      <c r="D14" s="8" t="s">
        <v>19</v>
      </c>
    </row>
    <row r="15" customFormat="false" ht="18" hidden="false" customHeight="true" outlineLevel="0" collapsed="false">
      <c r="A15" s="4" t="s">
        <v>20</v>
      </c>
      <c r="B15" s="9" t="n">
        <f aca="false">'Q2b-RoadPropCI'!C13</f>
        <v>0.172496740584781</v>
      </c>
      <c r="C15" s="9" t="n">
        <f aca="false">'Q2b-RoadPropCI'!C14</f>
        <v>0.494169926081886</v>
      </c>
      <c r="D15" s="6" t="s">
        <v>19</v>
      </c>
    </row>
    <row r="16" customFormat="false" ht="18" hidden="false" customHeight="true" outlineLevel="0" collapsed="false">
      <c r="A16" s="7" t="s">
        <v>21</v>
      </c>
      <c r="B16" s="9" t="n">
        <f aca="false">'Q2b-RoadPropCI'!B24</f>
        <v>0.073235260268243</v>
      </c>
      <c r="C16" s="9" t="n">
        <f aca="false">'Q2b-RoadPropCI'!B25</f>
        <v>0.532825345792363</v>
      </c>
      <c r="D16" s="8" t="s">
        <v>19</v>
      </c>
    </row>
    <row r="17" customFormat="false" ht="18" hidden="false" customHeight="true" outlineLevel="0" collapsed="false">
      <c r="A17" s="4" t="s">
        <v>22</v>
      </c>
      <c r="B17" s="10" t="n">
        <f aca="false">'Q3-TenureCI'!B11</f>
        <v>12.9836088624853</v>
      </c>
      <c r="C17" s="10" t="n">
        <f aca="false">'Q3-TenureCI'!B12</f>
        <v>17.6046264316323</v>
      </c>
      <c r="D17" s="6" t="s">
        <v>23</v>
      </c>
    </row>
    <row r="18" customFormat="false" ht="18" hidden="false" customHeight="true" outlineLevel="0" collapsed="false">
      <c r="A18" s="7" t="s">
        <v>24</v>
      </c>
      <c r="B18" s="9" t="n">
        <f aca="false">'Q4-StateUnivCI'!B10</f>
        <v>0.29301325717631</v>
      </c>
      <c r="C18" s="9" t="n">
        <f aca="false">'Q4-StateUnivCI'!B11</f>
        <v>0.669949705786653</v>
      </c>
      <c r="D18" s="8" t="s">
        <v>25</v>
      </c>
    </row>
    <row r="19" customFormat="false" ht="18" hidden="false" customHeight="true" outlineLevel="0" collapsed="false">
      <c r="A19" s="4" t="s">
        <v>26</v>
      </c>
      <c r="B19" s="9" t="n">
        <f aca="false">'Q4-StateUnivCI'!C10</f>
        <v>0.330308373850531</v>
      </c>
      <c r="C19" s="9" t="n">
        <f aca="false">'Q4-StateUnivCI'!C11</f>
        <v>0.644050600508443</v>
      </c>
      <c r="D19" s="6" t="s">
        <v>25</v>
      </c>
    </row>
    <row r="20" customFormat="false" ht="18" hidden="false" customHeight="true" outlineLevel="0" collapsed="false">
      <c r="A20" s="7" t="s">
        <v>27</v>
      </c>
      <c r="B20" s="9" t="n">
        <f aca="false">'Q4-StateUnivCI'!B22</f>
        <v>0.23951377576816</v>
      </c>
      <c r="C20" s="9" t="n">
        <f aca="false">'Q4-StateUnivCI'!B23</f>
        <v>0</v>
      </c>
      <c r="D20" s="8" t="s">
        <v>25</v>
      </c>
    </row>
    <row r="22" customFormat="false" ht="19.5" hidden="false" customHeight="true" outlineLevel="0" collapsed="false">
      <c r="A22" s="11" t="s">
        <v>28</v>
      </c>
      <c r="B22" s="11"/>
      <c r="C22" s="11"/>
      <c r="D22" s="11"/>
    </row>
    <row r="23" customFormat="false" ht="18" hidden="false" customHeight="true" outlineLevel="0" collapsed="false">
      <c r="A23" s="12" t="s">
        <v>29</v>
      </c>
      <c r="B23" s="13" t="s">
        <v>30</v>
      </c>
      <c r="C23" s="13"/>
      <c r="D23" s="13"/>
    </row>
    <row r="24" customFormat="false" ht="18" hidden="false" customHeight="true" outlineLevel="0" collapsed="false">
      <c r="A24" s="14" t="s">
        <v>29</v>
      </c>
      <c r="B24" s="13" t="s">
        <v>31</v>
      </c>
      <c r="C24" s="13"/>
      <c r="D24" s="13"/>
    </row>
    <row r="25" customFormat="false" ht="18" hidden="false" customHeight="true" outlineLevel="0" collapsed="false">
      <c r="A25" s="15" t="s">
        <v>29</v>
      </c>
      <c r="B25" s="13" t="s">
        <v>32</v>
      </c>
      <c r="C25" s="13"/>
      <c r="D25" s="13"/>
    </row>
    <row r="26" customFormat="false" ht="18" hidden="false" customHeight="true" outlineLevel="0" collapsed="false">
      <c r="A26" s="16" t="s">
        <v>29</v>
      </c>
      <c r="B26" s="13" t="s">
        <v>33</v>
      </c>
      <c r="C26" s="13"/>
      <c r="D26" s="13"/>
    </row>
  </sheetData>
  <mergeCells count="7">
    <mergeCell ref="A1:D1"/>
    <mergeCell ref="A2:D2"/>
    <mergeCell ref="A22:D22"/>
    <mergeCell ref="B23:D23"/>
    <mergeCell ref="B24:D24"/>
    <mergeCell ref="B25:D25"/>
    <mergeCell ref="B26:D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5" min="4" style="0" width="13"/>
    <col collapsed="false" customWidth="true" hidden="false" outlineLevel="0" max="6" min="6" style="0" width="16"/>
    <col collapsed="false" customWidth="true" hidden="false" outlineLevel="0" max="7" min="7" style="0" width="12"/>
  </cols>
  <sheetData>
    <row r="1" customFormat="false" ht="30" hidden="false" customHeight="true" outlineLevel="0" collapsed="false">
      <c r="A1" s="17" t="s">
        <v>34</v>
      </c>
      <c r="B1" s="17"/>
      <c r="C1" s="17"/>
      <c r="D1" s="17"/>
      <c r="E1" s="17"/>
      <c r="F1" s="17"/>
      <c r="G1" s="17"/>
    </row>
    <row r="2" customFormat="false" ht="21.75" hidden="false" customHeight="true" outlineLevel="0" collapsed="false">
      <c r="A2" s="3" t="s">
        <v>35</v>
      </c>
      <c r="B2" s="3" t="s">
        <v>36</v>
      </c>
      <c r="C2" s="3" t="s">
        <v>37</v>
      </c>
      <c r="D2" s="3" t="s">
        <v>38</v>
      </c>
      <c r="E2" s="3" t="s">
        <v>39</v>
      </c>
      <c r="F2" s="3" t="s">
        <v>40</v>
      </c>
      <c r="G2" s="3" t="s">
        <v>41</v>
      </c>
    </row>
    <row r="3" customFormat="false" ht="15" hidden="false" customHeight="false" outlineLevel="0" collapsed="false">
      <c r="A3" s="18" t="n">
        <v>1</v>
      </c>
      <c r="B3" s="19" t="n">
        <v>38900</v>
      </c>
      <c r="C3" s="20" t="n">
        <v>0.57</v>
      </c>
      <c r="D3" s="18" t="s">
        <v>42</v>
      </c>
      <c r="E3" s="18" t="s">
        <v>42</v>
      </c>
      <c r="F3" s="18" t="s">
        <v>43</v>
      </c>
      <c r="G3" s="18" t="n">
        <v>11</v>
      </c>
    </row>
    <row r="4" customFormat="false" ht="15" hidden="false" customHeight="false" outlineLevel="0" collapsed="false">
      <c r="A4" s="8" t="n">
        <v>2</v>
      </c>
      <c r="B4" s="21" t="n">
        <v>42300</v>
      </c>
      <c r="C4" s="22" t="n">
        <v>0.68</v>
      </c>
      <c r="D4" s="8" t="s">
        <v>42</v>
      </c>
      <c r="E4" s="8" t="s">
        <v>42</v>
      </c>
      <c r="F4" s="8" t="s">
        <v>43</v>
      </c>
      <c r="G4" s="8" t="n">
        <v>5</v>
      </c>
    </row>
    <row r="5" customFormat="false" ht="15" hidden="false" customHeight="false" outlineLevel="0" collapsed="false">
      <c r="A5" s="18" t="n">
        <v>3</v>
      </c>
      <c r="B5" s="19" t="n">
        <v>39800</v>
      </c>
      <c r="C5" s="20" t="n">
        <v>0.75</v>
      </c>
      <c r="D5" s="18" t="s">
        <v>43</v>
      </c>
      <c r="E5" s="18" t="s">
        <v>42</v>
      </c>
      <c r="F5" s="18" t="s">
        <v>43</v>
      </c>
      <c r="G5" s="18" t="n">
        <v>21</v>
      </c>
    </row>
    <row r="6" customFormat="false" ht="15" hidden="false" customHeight="false" outlineLevel="0" collapsed="false">
      <c r="A6" s="8" t="n">
        <v>4</v>
      </c>
      <c r="B6" s="21" t="n">
        <v>35700</v>
      </c>
      <c r="C6" s="22" t="n">
        <v>0.29</v>
      </c>
      <c r="D6" s="8" t="s">
        <v>43</v>
      </c>
      <c r="E6" s="8" t="s">
        <v>42</v>
      </c>
      <c r="F6" s="8" t="s">
        <v>42</v>
      </c>
      <c r="G6" s="8"/>
    </row>
    <row r="7" customFormat="false" ht="15" hidden="false" customHeight="false" outlineLevel="0" collapsed="false">
      <c r="A7" s="18" t="n">
        <v>5</v>
      </c>
      <c r="B7" s="19" t="n">
        <v>40400</v>
      </c>
      <c r="C7" s="20" t="n">
        <v>0.71</v>
      </c>
      <c r="D7" s="18" t="s">
        <v>43</v>
      </c>
      <c r="E7" s="18" t="s">
        <v>42</v>
      </c>
      <c r="F7" s="18" t="s">
        <v>43</v>
      </c>
      <c r="G7" s="18" t="n">
        <v>19</v>
      </c>
    </row>
    <row r="8" customFormat="false" ht="15" hidden="false" customHeight="false" outlineLevel="0" collapsed="false">
      <c r="A8" s="8" t="n">
        <v>6</v>
      </c>
      <c r="B8" s="21" t="n">
        <v>36400</v>
      </c>
      <c r="C8" s="22" t="n">
        <v>0.62</v>
      </c>
      <c r="D8" s="8" t="s">
        <v>43</v>
      </c>
      <c r="E8" s="8" t="s">
        <v>42</v>
      </c>
      <c r="F8" s="8" t="s">
        <v>43</v>
      </c>
      <c r="G8" s="8" t="n">
        <v>18</v>
      </c>
    </row>
    <row r="9" customFormat="false" ht="15" hidden="false" customHeight="false" outlineLevel="0" collapsed="false">
      <c r="A9" s="18" t="n">
        <v>7</v>
      </c>
      <c r="B9" s="19" t="n">
        <v>37300</v>
      </c>
      <c r="C9" s="20" t="n">
        <v>0.41</v>
      </c>
      <c r="D9" s="18" t="s">
        <v>42</v>
      </c>
      <c r="E9" s="18" t="s">
        <v>43</v>
      </c>
      <c r="F9" s="18" t="s">
        <v>42</v>
      </c>
      <c r="G9" s="18"/>
    </row>
    <row r="10" customFormat="false" ht="15" hidden="false" customHeight="false" outlineLevel="0" collapsed="false">
      <c r="A10" s="8" t="n">
        <v>8</v>
      </c>
      <c r="B10" s="21" t="n">
        <v>36600</v>
      </c>
      <c r="C10" s="22" t="n">
        <v>0.37</v>
      </c>
      <c r="D10" s="8" t="s">
        <v>43</v>
      </c>
      <c r="E10" s="8" t="s">
        <v>42</v>
      </c>
      <c r="F10" s="8" t="s">
        <v>43</v>
      </c>
      <c r="G10" s="8" t="n">
        <v>17</v>
      </c>
    </row>
    <row r="11" customFormat="false" ht="15" hidden="false" customHeight="false" outlineLevel="0" collapsed="false">
      <c r="A11" s="18" t="n">
        <v>9</v>
      </c>
      <c r="B11" s="19" t="n">
        <v>34600</v>
      </c>
      <c r="C11" s="20" t="n">
        <v>0.65</v>
      </c>
      <c r="D11" s="18" t="s">
        <v>43</v>
      </c>
      <c r="E11" s="18" t="s">
        <v>42</v>
      </c>
      <c r="F11" s="18" t="s">
        <v>43</v>
      </c>
      <c r="G11" s="18" t="n">
        <v>20</v>
      </c>
    </row>
    <row r="12" customFormat="false" ht="15" hidden="false" customHeight="false" outlineLevel="0" collapsed="false">
      <c r="A12" s="8" t="n">
        <v>10</v>
      </c>
      <c r="B12" s="21" t="n">
        <v>42300</v>
      </c>
      <c r="C12" s="22" t="n">
        <v>0.53</v>
      </c>
      <c r="D12" s="8" t="s">
        <v>42</v>
      </c>
      <c r="E12" s="8" t="s">
        <v>42</v>
      </c>
      <c r="F12" s="8" t="s">
        <v>43</v>
      </c>
      <c r="G12" s="8" t="n">
        <v>16</v>
      </c>
    </row>
    <row r="13" customFormat="false" ht="15" hidden="false" customHeight="false" outlineLevel="0" collapsed="false">
      <c r="A13" s="18" t="n">
        <v>11</v>
      </c>
      <c r="B13" s="19" t="n">
        <v>37800</v>
      </c>
      <c r="C13" s="20" t="n">
        <v>0.73</v>
      </c>
      <c r="D13" s="18" t="s">
        <v>43</v>
      </c>
      <c r="E13" s="18" t="s">
        <v>42</v>
      </c>
      <c r="F13" s="18" t="s">
        <v>42</v>
      </c>
      <c r="G13" s="18"/>
    </row>
    <row r="14" customFormat="false" ht="15" hidden="false" customHeight="false" outlineLevel="0" collapsed="false">
      <c r="A14" s="8" t="n">
        <v>12</v>
      </c>
      <c r="B14" s="21" t="n">
        <v>39700</v>
      </c>
      <c r="C14" s="22" t="n">
        <v>0.6</v>
      </c>
      <c r="D14" s="8" t="s">
        <v>43</v>
      </c>
      <c r="E14" s="8" t="s">
        <v>42</v>
      </c>
      <c r="F14" s="8" t="s">
        <v>43</v>
      </c>
      <c r="G14" s="8" t="n">
        <v>12</v>
      </c>
    </row>
    <row r="15" customFormat="false" ht="15" hidden="false" customHeight="false" outlineLevel="0" collapsed="false">
      <c r="A15" s="18" t="n">
        <v>13</v>
      </c>
      <c r="B15" s="19" t="n">
        <v>36100</v>
      </c>
      <c r="C15" s="20" t="n">
        <v>0.56</v>
      </c>
      <c r="D15" s="18" t="s">
        <v>42</v>
      </c>
      <c r="E15" s="18" t="s">
        <v>42</v>
      </c>
      <c r="F15" s="18" t="s">
        <v>42</v>
      </c>
      <c r="G15" s="18"/>
    </row>
    <row r="16" customFormat="false" ht="15" hidden="false" customHeight="false" outlineLevel="0" collapsed="false">
      <c r="A16" s="8" t="n">
        <v>14</v>
      </c>
      <c r="B16" s="21" t="n">
        <v>36100</v>
      </c>
      <c r="C16" s="22" t="n">
        <v>0.42</v>
      </c>
      <c r="D16" s="8" t="s">
        <v>42</v>
      </c>
      <c r="E16" s="8" t="s">
        <v>42</v>
      </c>
      <c r="F16" s="8" t="s">
        <v>42</v>
      </c>
      <c r="G16" s="8"/>
    </row>
    <row r="17" customFormat="false" ht="15" hidden="false" customHeight="false" outlineLevel="0" collapsed="false">
      <c r="A17" s="18" t="n">
        <v>15</v>
      </c>
      <c r="B17" s="19" t="n">
        <v>33800</v>
      </c>
      <c r="C17" s="20" t="n">
        <v>0.35</v>
      </c>
      <c r="D17" s="18" t="s">
        <v>43</v>
      </c>
      <c r="E17" s="18" t="s">
        <v>42</v>
      </c>
      <c r="F17" s="18" t="s">
        <v>42</v>
      </c>
      <c r="G17" s="18"/>
    </row>
    <row r="18" customFormat="false" ht="15" hidden="false" customHeight="false" outlineLevel="0" collapsed="false">
      <c r="A18" s="8" t="n">
        <v>16</v>
      </c>
      <c r="B18" s="21" t="n">
        <v>38900</v>
      </c>
      <c r="C18" s="22" t="n">
        <v>0.36</v>
      </c>
      <c r="D18" s="8" t="s">
        <v>43</v>
      </c>
      <c r="E18" s="8" t="s">
        <v>42</v>
      </c>
      <c r="F18" s="8" t="s">
        <v>42</v>
      </c>
      <c r="G18" s="8"/>
    </row>
    <row r="19" customFormat="false" ht="15" hidden="false" customHeight="false" outlineLevel="0" collapsed="false">
      <c r="A19" s="18" t="n">
        <v>17</v>
      </c>
      <c r="B19" s="19" t="n">
        <v>35500</v>
      </c>
      <c r="C19" s="20" t="n">
        <v>0.5</v>
      </c>
      <c r="D19" s="18" t="s">
        <v>43</v>
      </c>
      <c r="E19" s="18" t="s">
        <v>42</v>
      </c>
      <c r="F19" s="18" t="s">
        <v>43</v>
      </c>
      <c r="G19" s="18" t="n">
        <v>15</v>
      </c>
    </row>
    <row r="20" customFormat="false" ht="15" hidden="false" customHeight="false" outlineLevel="0" collapsed="false">
      <c r="A20" s="8" t="n">
        <v>18</v>
      </c>
      <c r="B20" s="21" t="n">
        <v>37600</v>
      </c>
      <c r="C20" s="22" t="n">
        <v>0.58</v>
      </c>
      <c r="D20" s="8" t="s">
        <v>43</v>
      </c>
      <c r="E20" s="8" t="s">
        <v>42</v>
      </c>
      <c r="F20" s="8" t="s">
        <v>42</v>
      </c>
      <c r="G20" s="8"/>
    </row>
    <row r="21" customFormat="false" ht="15" hidden="false" customHeight="false" outlineLevel="0" collapsed="false">
      <c r="A21" s="18" t="n">
        <v>19</v>
      </c>
      <c r="B21" s="19" t="n">
        <v>38100</v>
      </c>
      <c r="C21" s="20" t="n">
        <v>0.78</v>
      </c>
      <c r="D21" s="18" t="s">
        <v>42</v>
      </c>
      <c r="E21" s="18" t="s">
        <v>42</v>
      </c>
      <c r="F21" s="18" t="s">
        <v>42</v>
      </c>
      <c r="G21" s="18"/>
    </row>
    <row r="22" customFormat="false" ht="15" hidden="false" customHeight="false" outlineLevel="0" collapsed="false">
      <c r="A22" s="8" t="n">
        <v>20</v>
      </c>
      <c r="B22" s="21" t="n">
        <v>38300</v>
      </c>
      <c r="C22" s="22" t="n">
        <v>0.16</v>
      </c>
      <c r="D22" s="8" t="s">
        <v>43</v>
      </c>
      <c r="E22" s="8" t="s">
        <v>43</v>
      </c>
      <c r="F22" s="8" t="s">
        <v>42</v>
      </c>
      <c r="G22" s="8"/>
    </row>
    <row r="23" customFormat="false" ht="15" hidden="false" customHeight="false" outlineLevel="0" collapsed="false">
      <c r="A23" s="18" t="n">
        <v>21</v>
      </c>
      <c r="B23" s="19" t="n">
        <v>34600</v>
      </c>
      <c r="C23" s="20" t="n">
        <v>0.29</v>
      </c>
      <c r="D23" s="18" t="s">
        <v>43</v>
      </c>
      <c r="E23" s="18" t="s">
        <v>42</v>
      </c>
      <c r="F23" s="18" t="s">
        <v>42</v>
      </c>
      <c r="G23" s="18"/>
    </row>
    <row r="24" customFormat="false" ht="15" hidden="false" customHeight="false" outlineLevel="0" collapsed="false">
      <c r="A24" s="8" t="n">
        <v>22</v>
      </c>
      <c r="B24" s="21" t="n">
        <v>36300</v>
      </c>
      <c r="C24" s="22" t="n">
        <v>0.26</v>
      </c>
      <c r="D24" s="8" t="s">
        <v>43</v>
      </c>
      <c r="E24" s="8" t="s">
        <v>42</v>
      </c>
      <c r="F24" s="8" t="s">
        <v>42</v>
      </c>
      <c r="G24" s="8"/>
    </row>
    <row r="25" customFormat="false" ht="15" hidden="false" customHeight="false" outlineLevel="0" collapsed="false">
      <c r="A25" s="18" t="n">
        <v>23</v>
      </c>
      <c r="B25" s="19" t="n">
        <v>37200</v>
      </c>
      <c r="C25" s="20" t="n">
        <v>0.59</v>
      </c>
      <c r="D25" s="18" t="s">
        <v>42</v>
      </c>
      <c r="E25" s="18" t="s">
        <v>42</v>
      </c>
      <c r="F25" s="18" t="s">
        <v>43</v>
      </c>
      <c r="G25" s="18" t="n">
        <v>14</v>
      </c>
    </row>
    <row r="26" customFormat="false" ht="15" hidden="false" customHeight="false" outlineLevel="0" collapsed="false">
      <c r="A26" s="8" t="n">
        <v>24</v>
      </c>
      <c r="B26" s="21" t="n">
        <v>37700</v>
      </c>
      <c r="C26" s="22" t="n">
        <v>0.55</v>
      </c>
      <c r="D26" s="8" t="s">
        <v>42</v>
      </c>
      <c r="E26" s="8" t="s">
        <v>42</v>
      </c>
      <c r="F26" s="8" t="s">
        <v>42</v>
      </c>
      <c r="G26" s="8"/>
    </row>
    <row r="27" customFormat="false" ht="15" hidden="false" customHeight="false" outlineLevel="0" collapsed="false">
      <c r="A27" s="18" t="n">
        <v>25</v>
      </c>
      <c r="B27" s="19" t="n">
        <v>36600</v>
      </c>
      <c r="C27" s="20" t="n">
        <v>0.45</v>
      </c>
      <c r="D27" s="18" t="s">
        <v>43</v>
      </c>
      <c r="E27" s="18" t="s">
        <v>42</v>
      </c>
      <c r="F27" s="18" t="s">
        <v>43</v>
      </c>
      <c r="G27" s="18" t="n">
        <v>13</v>
      </c>
    </row>
    <row r="28" customFormat="false" ht="15" hidden="false" customHeight="false" outlineLevel="0" collapsed="false">
      <c r="A28" s="8" t="n">
        <v>26</v>
      </c>
      <c r="B28" s="21" t="n">
        <v>41000</v>
      </c>
      <c r="C28" s="22" t="n">
        <v>0.81</v>
      </c>
      <c r="D28" s="8" t="s">
        <v>42</v>
      </c>
      <c r="E28" s="8" t="s">
        <v>42</v>
      </c>
      <c r="F28" s="8" t="s">
        <v>43</v>
      </c>
      <c r="G28" s="8" t="n">
        <v>9</v>
      </c>
    </row>
    <row r="29" customFormat="false" ht="15" hidden="false" customHeight="false" outlineLevel="0" collapsed="false">
      <c r="A29" s="18" t="n">
        <v>27</v>
      </c>
      <c r="B29" s="19" t="n">
        <v>40800</v>
      </c>
      <c r="C29" s="20" t="n">
        <v>1.11</v>
      </c>
      <c r="D29" s="18" t="s">
        <v>42</v>
      </c>
      <c r="E29" s="18" t="s">
        <v>42</v>
      </c>
      <c r="F29" s="18" t="s">
        <v>43</v>
      </c>
      <c r="G29" s="18" t="n">
        <v>7</v>
      </c>
    </row>
    <row r="30" customFormat="false" ht="15" hidden="false" customHeight="false" outlineLevel="0" collapsed="false">
      <c r="A30" s="8" t="n">
        <v>28</v>
      </c>
      <c r="B30" s="21" t="n">
        <v>36700</v>
      </c>
      <c r="C30" s="22" t="n">
        <v>0.56</v>
      </c>
      <c r="D30" s="8" t="s">
        <v>42</v>
      </c>
      <c r="E30" s="8" t="s">
        <v>42</v>
      </c>
      <c r="F30" s="8" t="s">
        <v>42</v>
      </c>
      <c r="G30" s="8"/>
    </row>
    <row r="31" customFormat="false" ht="15" hidden="false" customHeight="false" outlineLevel="0" collapsed="false">
      <c r="A31" s="18" t="n">
        <v>29</v>
      </c>
      <c r="B31" s="19" t="n">
        <v>37700</v>
      </c>
      <c r="C31" s="20" t="n">
        <v>0.56</v>
      </c>
      <c r="D31" s="18" t="s">
        <v>43</v>
      </c>
      <c r="E31" s="18" t="s">
        <v>42</v>
      </c>
      <c r="F31" s="18" t="s">
        <v>43</v>
      </c>
      <c r="G31" s="18" t="n">
        <v>22</v>
      </c>
    </row>
    <row r="32" customFormat="false" ht="15" hidden="false" customHeight="false" outlineLevel="0" collapsed="false">
      <c r="A32" s="8" t="n">
        <v>30</v>
      </c>
      <c r="B32" s="21" t="n">
        <v>37700</v>
      </c>
      <c r="C32" s="22" t="n">
        <v>0.42</v>
      </c>
      <c r="D32" s="8" t="s">
        <v>43</v>
      </c>
      <c r="E32" s="8" t="s">
        <v>42</v>
      </c>
      <c r="F32" s="8" t="s">
        <v>43</v>
      </c>
      <c r="G32" s="8" t="n">
        <v>11</v>
      </c>
    </row>
    <row r="33" customFormat="false" ht="15" hidden="false" customHeight="false" outlineLevel="0" collapsed="false">
      <c r="A33" s="18" t="n">
        <v>31</v>
      </c>
      <c r="B33" s="19" t="n">
        <v>39300</v>
      </c>
      <c r="C33" s="20" t="n">
        <v>0.69</v>
      </c>
      <c r="D33" s="18" t="s">
        <v>42</v>
      </c>
      <c r="E33" s="18" t="s">
        <v>42</v>
      </c>
      <c r="F33" s="18" t="s">
        <v>43</v>
      </c>
      <c r="G33" s="18" t="n">
        <v>16</v>
      </c>
    </row>
    <row r="34" customFormat="false" ht="15" hidden="false" customHeight="false" outlineLevel="0" collapsed="false">
      <c r="A34" s="8" t="n">
        <v>32</v>
      </c>
      <c r="B34" s="21" t="n">
        <v>37500</v>
      </c>
      <c r="C34" s="22" t="n">
        <v>0.5</v>
      </c>
      <c r="D34" s="8" t="s">
        <v>43</v>
      </c>
      <c r="E34" s="8" t="s">
        <v>42</v>
      </c>
      <c r="F34" s="8" t="s">
        <v>43</v>
      </c>
      <c r="G34" s="8" t="n">
        <v>18</v>
      </c>
    </row>
    <row r="35" customFormat="false" ht="15" hidden="false" customHeight="false" outlineLevel="0" collapsed="false">
      <c r="A35" s="18" t="n">
        <v>33</v>
      </c>
      <c r="B35" s="19" t="n">
        <v>40000</v>
      </c>
      <c r="C35" s="20" t="n">
        <v>0.69</v>
      </c>
      <c r="D35" s="18" t="s">
        <v>42</v>
      </c>
      <c r="E35" s="18" t="s">
        <v>42</v>
      </c>
      <c r="F35" s="18" t="s">
        <v>43</v>
      </c>
      <c r="G35" s="18" t="n">
        <v>9</v>
      </c>
    </row>
    <row r="36" customFormat="false" ht="15" hidden="false" customHeight="false" outlineLevel="0" collapsed="false">
      <c r="A36" s="8" t="n">
        <v>34</v>
      </c>
      <c r="B36" s="21" t="n">
        <v>41500</v>
      </c>
      <c r="C36" s="22" t="n">
        <v>0.64</v>
      </c>
      <c r="D36" s="8" t="s">
        <v>42</v>
      </c>
      <c r="E36" s="8" t="s">
        <v>43</v>
      </c>
      <c r="F36" s="8" t="s">
        <v>43</v>
      </c>
      <c r="G36" s="8" t="n">
        <v>5</v>
      </c>
    </row>
    <row r="37" customFormat="false" ht="15" hidden="false" customHeight="false" outlineLevel="0" collapsed="false">
      <c r="A37" s="18" t="n">
        <v>35</v>
      </c>
      <c r="B37" s="19" t="n">
        <v>39600</v>
      </c>
      <c r="C37" s="20" t="n">
        <v>0.72</v>
      </c>
      <c r="D37" s="18" t="s">
        <v>43</v>
      </c>
      <c r="E37" s="18" t="s">
        <v>42</v>
      </c>
      <c r="F37" s="18" t="s">
        <v>43</v>
      </c>
      <c r="G37" s="18" t="n">
        <v>18</v>
      </c>
    </row>
    <row r="38" customFormat="false" ht="15" hidden="false" customHeight="false" outlineLevel="0" collapsed="false">
      <c r="A38" s="8" t="n">
        <v>36</v>
      </c>
      <c r="B38" s="21" t="n">
        <v>36900</v>
      </c>
      <c r="C38" s="22" t="n">
        <v>0.42</v>
      </c>
      <c r="D38" s="8" t="s">
        <v>43</v>
      </c>
      <c r="E38" s="8" t="s">
        <v>42</v>
      </c>
      <c r="F38" s="8" t="s">
        <v>42</v>
      </c>
      <c r="G38" s="8"/>
    </row>
    <row r="39" customFormat="false" ht="15" hidden="false" customHeight="false" outlineLevel="0" collapsed="false">
      <c r="A39" s="18" t="n">
        <v>37</v>
      </c>
      <c r="B39" s="19" t="n">
        <v>39500</v>
      </c>
      <c r="C39" s="20" t="n">
        <v>0.62</v>
      </c>
      <c r="D39" s="18" t="s">
        <v>43</v>
      </c>
      <c r="E39" s="18" t="s">
        <v>42</v>
      </c>
      <c r="F39" s="18" t="s">
        <v>43</v>
      </c>
      <c r="G39" s="18" t="n">
        <v>5</v>
      </c>
    </row>
    <row r="40" customFormat="false" ht="15" hidden="false" customHeight="false" outlineLevel="0" collapsed="false">
      <c r="A40" s="8" t="n">
        <v>38</v>
      </c>
      <c r="B40" s="21" t="n">
        <v>37800</v>
      </c>
      <c r="C40" s="22" t="n">
        <v>0.2</v>
      </c>
      <c r="D40" s="8" t="s">
        <v>43</v>
      </c>
      <c r="E40" s="8" t="s">
        <v>42</v>
      </c>
      <c r="F40" s="8" t="s">
        <v>43</v>
      </c>
      <c r="G40" s="8" t="n">
        <v>23</v>
      </c>
    </row>
    <row r="41" customFormat="false" ht="15" hidden="false" customHeight="false" outlineLevel="0" collapsed="false">
      <c r="A41" s="18" t="n">
        <v>39</v>
      </c>
      <c r="B41" s="19" t="n">
        <v>38600</v>
      </c>
      <c r="C41" s="20" t="n">
        <v>0.57</v>
      </c>
      <c r="D41" s="18" t="s">
        <v>43</v>
      </c>
      <c r="E41" s="18" t="s">
        <v>42</v>
      </c>
      <c r="F41" s="18" t="s">
        <v>43</v>
      </c>
      <c r="G41" s="18" t="n">
        <v>8</v>
      </c>
    </row>
    <row r="42" customFormat="false" ht="15" hidden="false" customHeight="false" outlineLevel="0" collapsed="false">
      <c r="A42" s="8" t="n">
        <v>40</v>
      </c>
      <c r="B42" s="21" t="n">
        <v>40600</v>
      </c>
      <c r="C42" s="22" t="n">
        <v>0.7</v>
      </c>
      <c r="D42" s="8" t="s">
        <v>42</v>
      </c>
      <c r="E42" s="8" t="s">
        <v>42</v>
      </c>
      <c r="F42" s="8" t="s">
        <v>42</v>
      </c>
      <c r="G42" s="8"/>
    </row>
    <row r="43" customFormat="false" ht="15" hidden="false" customHeight="false" outlineLevel="0" collapsed="false">
      <c r="A43" s="18" t="n">
        <v>41</v>
      </c>
      <c r="B43" s="19" t="n">
        <v>41600</v>
      </c>
      <c r="C43" s="20" t="n">
        <v>0.63</v>
      </c>
      <c r="D43" s="18" t="s">
        <v>42</v>
      </c>
      <c r="E43" s="18" t="s">
        <v>42</v>
      </c>
      <c r="F43" s="18" t="s">
        <v>42</v>
      </c>
      <c r="G43" s="18"/>
    </row>
    <row r="44" customFormat="false" ht="15" hidden="false" customHeight="false" outlineLevel="0" collapsed="false">
      <c r="A44" s="8" t="n">
        <v>42</v>
      </c>
      <c r="B44" s="21" t="n">
        <v>40800</v>
      </c>
      <c r="C44" s="22" t="n">
        <v>0.44</v>
      </c>
      <c r="D44" s="8" t="s">
        <v>43</v>
      </c>
      <c r="E44" s="8" t="s">
        <v>43</v>
      </c>
      <c r="F44" s="8" t="s">
        <v>42</v>
      </c>
      <c r="G44" s="8"/>
    </row>
    <row r="45" customFormat="false" ht="15" hidden="false" customHeight="false" outlineLevel="0" collapsed="false">
      <c r="A45" s="18" t="n">
        <v>43</v>
      </c>
      <c r="B45" s="19" t="n">
        <v>36200</v>
      </c>
      <c r="C45" s="20" t="n">
        <v>0.68</v>
      </c>
      <c r="D45" s="18" t="s">
        <v>43</v>
      </c>
      <c r="E45" s="18" t="s">
        <v>42</v>
      </c>
      <c r="F45" s="18" t="s">
        <v>43</v>
      </c>
      <c r="G45" s="18" t="n">
        <v>31</v>
      </c>
    </row>
    <row r="46" customFormat="false" ht="15" hidden="false" customHeight="false" outlineLevel="0" collapsed="false">
      <c r="A46" s="8" t="n">
        <v>44</v>
      </c>
      <c r="B46" s="21" t="n">
        <v>39600</v>
      </c>
      <c r="C46" s="22" t="n">
        <v>0.59</v>
      </c>
      <c r="D46" s="8" t="s">
        <v>43</v>
      </c>
      <c r="E46" s="8" t="s">
        <v>42</v>
      </c>
      <c r="F46" s="8" t="s">
        <v>43</v>
      </c>
      <c r="G46" s="8" t="n">
        <v>10</v>
      </c>
    </row>
    <row r="47" customFormat="false" ht="15" hidden="false" customHeight="false" outlineLevel="0" collapsed="false">
      <c r="A47" s="18" t="n">
        <v>45</v>
      </c>
      <c r="B47" s="19" t="n">
        <v>36100</v>
      </c>
      <c r="C47" s="20" t="n">
        <v>0.56</v>
      </c>
      <c r="D47" s="18" t="s">
        <v>42</v>
      </c>
      <c r="E47" s="18" t="s">
        <v>42</v>
      </c>
      <c r="F47" s="18" t="s">
        <v>42</v>
      </c>
      <c r="G47" s="18"/>
    </row>
    <row r="48" customFormat="false" ht="15" hidden="false" customHeight="false" outlineLevel="0" collapsed="false">
      <c r="A48" s="8" t="n">
        <v>46</v>
      </c>
      <c r="B48" s="21" t="n">
        <v>36100</v>
      </c>
      <c r="C48" s="22" t="n">
        <v>0.42</v>
      </c>
      <c r="D48" s="8" t="s">
        <v>43</v>
      </c>
      <c r="E48" s="8" t="s">
        <v>42</v>
      </c>
      <c r="F48" s="8" t="s">
        <v>42</v>
      </c>
      <c r="G48" s="8"/>
    </row>
    <row r="49" customFormat="false" ht="15" hidden="false" customHeight="false" outlineLevel="0" collapsed="false">
      <c r="A49" s="18" t="n">
        <v>47</v>
      </c>
      <c r="B49" s="19" t="n">
        <v>39500</v>
      </c>
      <c r="C49" s="20" t="n">
        <v>0.53</v>
      </c>
      <c r="D49" s="18" t="s">
        <v>42</v>
      </c>
      <c r="E49" s="18" t="s">
        <v>42</v>
      </c>
      <c r="F49" s="18" t="s">
        <v>43</v>
      </c>
      <c r="G49" s="18" t="n">
        <v>17</v>
      </c>
    </row>
    <row r="50" customFormat="false" ht="15" hidden="false" customHeight="false" outlineLevel="0" collapsed="false">
      <c r="A50" s="8" t="n">
        <v>48</v>
      </c>
      <c r="B50" s="21" t="n">
        <v>39100</v>
      </c>
      <c r="C50" s="22" t="n">
        <v>0.38</v>
      </c>
      <c r="D50" s="8" t="s">
        <v>43</v>
      </c>
      <c r="E50" s="8" t="s">
        <v>42</v>
      </c>
      <c r="F50" s="8" t="s">
        <v>42</v>
      </c>
      <c r="G50" s="8"/>
    </row>
    <row r="51" customFormat="false" ht="15" hidden="false" customHeight="false" outlineLevel="0" collapsed="false">
      <c r="A51" s="18" t="n">
        <v>49</v>
      </c>
      <c r="B51" s="19" t="n">
        <v>40300</v>
      </c>
      <c r="C51" s="20" t="n">
        <v>0.53</v>
      </c>
      <c r="D51" s="18" t="s">
        <v>42</v>
      </c>
      <c r="E51" s="18" t="s">
        <v>42</v>
      </c>
      <c r="F51" s="18" t="s">
        <v>42</v>
      </c>
      <c r="G51" s="18"/>
    </row>
    <row r="52" customFormat="false" ht="15" hidden="false" customHeight="false" outlineLevel="0" collapsed="false">
      <c r="A52" s="8" t="n">
        <v>50</v>
      </c>
      <c r="B52" s="21" t="n">
        <v>38800</v>
      </c>
      <c r="C52" s="22" t="n">
        <v>0.78</v>
      </c>
      <c r="D52" s="8" t="s">
        <v>42</v>
      </c>
      <c r="E52" s="8" t="s">
        <v>42</v>
      </c>
      <c r="F52" s="8" t="s">
        <v>42</v>
      </c>
      <c r="G52" s="8"/>
    </row>
    <row r="53" customFormat="false" ht="15" hidden="false" customHeight="false" outlineLevel="0" collapsed="false">
      <c r="A53" s="18" t="n">
        <v>51</v>
      </c>
      <c r="B53" s="19" t="n">
        <v>39400</v>
      </c>
      <c r="C53" s="20" t="n">
        <v>0.34</v>
      </c>
      <c r="D53" s="18" t="s">
        <v>42</v>
      </c>
      <c r="E53" s="18" t="s">
        <v>42</v>
      </c>
      <c r="F53" s="18" t="s">
        <v>43</v>
      </c>
      <c r="G53" s="18" t="n">
        <v>27</v>
      </c>
    </row>
    <row r="54" customFormat="false" ht="15" hidden="false" customHeight="false" outlineLevel="0" collapsed="false">
      <c r="A54" s="8" t="n">
        <v>52</v>
      </c>
      <c r="B54" s="21" t="n">
        <v>38400</v>
      </c>
      <c r="C54" s="22" t="n">
        <v>0.23</v>
      </c>
      <c r="D54" s="8" t="s">
        <v>43</v>
      </c>
      <c r="E54" s="8" t="s">
        <v>42</v>
      </c>
      <c r="F54" s="8" t="s">
        <v>42</v>
      </c>
      <c r="G54" s="8"/>
    </row>
    <row r="55" customFormat="false" ht="15" hidden="false" customHeight="false" outlineLevel="0" collapsed="false">
      <c r="A55" s="18" t="n">
        <v>53</v>
      </c>
      <c r="B55" s="19" t="n">
        <v>35200</v>
      </c>
      <c r="C55" s="20" t="n">
        <v>0.33</v>
      </c>
      <c r="D55" s="18" t="s">
        <v>43</v>
      </c>
      <c r="E55" s="18" t="s">
        <v>42</v>
      </c>
      <c r="F55" s="18" t="s">
        <v>42</v>
      </c>
      <c r="G55" s="18"/>
    </row>
    <row r="56" customFormat="false" ht="15" hidden="false" customHeight="false" outlineLevel="0" collapsed="false">
      <c r="A56" s="8" t="n">
        <v>54</v>
      </c>
      <c r="B56" s="21" t="n">
        <v>36100</v>
      </c>
      <c r="C56" s="22" t="n">
        <v>0.24</v>
      </c>
      <c r="D56" s="8" t="s">
        <v>43</v>
      </c>
      <c r="E56" s="8" t="s">
        <v>43</v>
      </c>
      <c r="F56" s="8" t="s">
        <v>42</v>
      </c>
      <c r="G56" s="8"/>
    </row>
    <row r="57" customFormat="false" ht="15" hidden="false" customHeight="false" outlineLevel="0" collapsed="false">
      <c r="A57" s="18" t="n">
        <v>55</v>
      </c>
      <c r="B57" s="19" t="n">
        <v>37100</v>
      </c>
      <c r="C57" s="20" t="n">
        <v>0.44</v>
      </c>
      <c r="D57" s="18" t="s">
        <v>43</v>
      </c>
      <c r="E57" s="18" t="s">
        <v>42</v>
      </c>
      <c r="F57" s="18" t="s">
        <v>42</v>
      </c>
      <c r="G57" s="18"/>
    </row>
    <row r="58" customFormat="false" ht="15" hidden="false" customHeight="false" outlineLevel="0" collapsed="false">
      <c r="A58" s="8" t="n">
        <v>56</v>
      </c>
      <c r="B58" s="21" t="n">
        <v>37200</v>
      </c>
      <c r="C58" s="22" t="n">
        <v>0.64</v>
      </c>
      <c r="D58" s="8" t="s">
        <v>42</v>
      </c>
      <c r="E58" s="8" t="s">
        <v>42</v>
      </c>
      <c r="F58" s="8" t="s">
        <v>43</v>
      </c>
      <c r="G58" s="8" t="n">
        <v>23</v>
      </c>
    </row>
    <row r="59" customFormat="false" ht="15" hidden="false" customHeight="false" outlineLevel="0" collapsed="false">
      <c r="A59" s="18" t="n">
        <v>57</v>
      </c>
      <c r="B59" s="19" t="n">
        <v>36800</v>
      </c>
      <c r="C59" s="20" t="n">
        <v>0.46</v>
      </c>
      <c r="D59" s="18" t="s">
        <v>42</v>
      </c>
      <c r="E59" s="18" t="s">
        <v>43</v>
      </c>
      <c r="F59" s="18" t="s">
        <v>42</v>
      </c>
      <c r="G59" s="18"/>
    </row>
    <row r="60" customFormat="false" ht="15" hidden="false" customHeight="false" outlineLevel="0" collapsed="false">
      <c r="A60" s="8" t="n">
        <v>58</v>
      </c>
      <c r="B60" s="21" t="n">
        <v>36500</v>
      </c>
      <c r="C60" s="22" t="n">
        <v>0.27</v>
      </c>
      <c r="D60" s="8" t="s">
        <v>43</v>
      </c>
      <c r="E60" s="8" t="s">
        <v>43</v>
      </c>
      <c r="F60" s="8" t="s">
        <v>42</v>
      </c>
      <c r="G60" s="8"/>
    </row>
    <row r="61" customFormat="false" ht="15" hidden="false" customHeight="false" outlineLevel="0" collapsed="false">
      <c r="A61" s="18" t="n">
        <v>59</v>
      </c>
      <c r="B61" s="19" t="n">
        <v>35900</v>
      </c>
      <c r="C61" s="20" t="n">
        <v>0.29</v>
      </c>
      <c r="D61" s="18" t="s">
        <v>43</v>
      </c>
      <c r="E61" s="18" t="s">
        <v>43</v>
      </c>
      <c r="F61" s="18" t="s">
        <v>42</v>
      </c>
      <c r="G61" s="18"/>
    </row>
    <row r="62" customFormat="false" ht="15" hidden="false" customHeight="false" outlineLevel="0" collapsed="false">
      <c r="A62" s="8" t="n">
        <v>60</v>
      </c>
      <c r="B62" s="21" t="n">
        <v>37900</v>
      </c>
      <c r="C62" s="22" t="n">
        <v>0.76</v>
      </c>
      <c r="D62" s="8" t="s">
        <v>42</v>
      </c>
      <c r="E62" s="8" t="s">
        <v>42</v>
      </c>
      <c r="F62" s="8" t="s">
        <v>43</v>
      </c>
      <c r="G62" s="8" t="n">
        <v>14</v>
      </c>
    </row>
    <row r="63" customFormat="false" ht="15" hidden="false" customHeight="false" outlineLevel="0" collapsed="false">
      <c r="A63" s="18" t="n">
        <v>61</v>
      </c>
      <c r="B63" s="19" t="n">
        <v>37900</v>
      </c>
      <c r="C63" s="20" t="n">
        <v>0.58</v>
      </c>
      <c r="D63" s="18" t="s">
        <v>43</v>
      </c>
      <c r="E63" s="18" t="s">
        <v>42</v>
      </c>
      <c r="F63" s="18" t="s">
        <v>43</v>
      </c>
      <c r="G63" s="18" t="n">
        <v>26</v>
      </c>
    </row>
    <row r="64" customFormat="false" ht="15" hidden="false" customHeight="false" outlineLevel="0" collapsed="false">
      <c r="A64" s="8" t="n">
        <v>62</v>
      </c>
      <c r="B64" s="21" t="n">
        <v>37900</v>
      </c>
      <c r="C64" s="22" t="n">
        <v>0.28</v>
      </c>
      <c r="D64" s="8" t="s">
        <v>43</v>
      </c>
      <c r="E64" s="8" t="s">
        <v>42</v>
      </c>
      <c r="F64" s="8" t="s">
        <v>43</v>
      </c>
      <c r="G64" s="8" t="n">
        <v>14</v>
      </c>
    </row>
    <row r="65" customFormat="false" ht="15" hidden="false" customHeight="false" outlineLevel="0" collapsed="false">
      <c r="A65" s="18" t="n">
        <v>63</v>
      </c>
      <c r="B65" s="19" t="n">
        <v>36700</v>
      </c>
      <c r="C65" s="20" t="n">
        <v>0.37</v>
      </c>
      <c r="D65" s="18" t="s">
        <v>43</v>
      </c>
      <c r="E65" s="18" t="s">
        <v>42</v>
      </c>
      <c r="F65" s="18" t="s">
        <v>42</v>
      </c>
      <c r="G65" s="18"/>
    </row>
    <row r="66" customFormat="false" ht="15" hidden="false" customHeight="false" outlineLevel="0" collapsed="false">
      <c r="A66" s="8" t="n">
        <v>64</v>
      </c>
      <c r="B66" s="21" t="n">
        <v>37400</v>
      </c>
      <c r="C66" s="22" t="n">
        <v>0.49</v>
      </c>
      <c r="D66" s="8" t="s">
        <v>43</v>
      </c>
      <c r="E66" s="8" t="s">
        <v>42</v>
      </c>
      <c r="F66" s="8" t="s">
        <v>43</v>
      </c>
      <c r="G66" s="8" t="n">
        <v>19</v>
      </c>
    </row>
    <row r="67" customFormat="false" ht="15" hidden="false" customHeight="false" outlineLevel="0" collapsed="false">
      <c r="A67" s="18" t="n">
        <v>65</v>
      </c>
      <c r="B67" s="19" t="n">
        <v>38200</v>
      </c>
      <c r="C67" s="20" t="n">
        <v>0.62</v>
      </c>
      <c r="D67" s="18" t="s">
        <v>42</v>
      </c>
      <c r="E67" s="18" t="s">
        <v>42</v>
      </c>
      <c r="F67" s="18" t="s">
        <v>42</v>
      </c>
      <c r="G67" s="18"/>
    </row>
    <row r="68" customFormat="false" ht="15" hidden="false" customHeight="false" outlineLevel="0" collapsed="false">
      <c r="A68" s="8" t="n">
        <v>66</v>
      </c>
      <c r="B68" s="21" t="n">
        <v>36600</v>
      </c>
      <c r="C68" s="22" t="n">
        <v>0.51</v>
      </c>
      <c r="D68" s="8" t="s">
        <v>42</v>
      </c>
      <c r="E68" s="8" t="s">
        <v>42</v>
      </c>
      <c r="F68" s="8" t="s">
        <v>43</v>
      </c>
      <c r="G68" s="8" t="n">
        <v>7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8"/>
  </cols>
  <sheetData>
    <row r="1" customFormat="false" ht="31.5" hidden="false" customHeight="true" outlineLevel="0" collapsed="false">
      <c r="A1" s="23" t="s">
        <v>44</v>
      </c>
      <c r="B1" s="23"/>
      <c r="C1" s="23"/>
      <c r="D1" s="23"/>
    </row>
    <row r="3" customFormat="false" ht="21.75" hidden="false" customHeight="true" outlineLevel="0" collapsed="false">
      <c r="A3" s="3" t="s">
        <v>45</v>
      </c>
      <c r="B3" s="3" t="s">
        <v>46</v>
      </c>
      <c r="C3" s="3" t="s">
        <v>47</v>
      </c>
      <c r="D3" s="3" t="s">
        <v>48</v>
      </c>
    </row>
    <row r="4" customFormat="false" ht="18" hidden="false" customHeight="true" outlineLevel="0" collapsed="false">
      <c r="A4" s="4" t="s">
        <v>49</v>
      </c>
      <c r="B4" s="24" t="n">
        <f aca="false">COUNTIF(RawData!F3:F68,"Yes")</f>
        <v>32</v>
      </c>
      <c r="C4" s="24" t="n">
        <f aca="false">COUNTIF(RawData!F3:F68,"No")</f>
        <v>34</v>
      </c>
      <c r="D4" s="24" t="n">
        <f aca="false">COUNT(RawData!B3:B68)</f>
        <v>66</v>
      </c>
    </row>
    <row r="5" customFormat="false" ht="18" hidden="false" customHeight="true" outlineLevel="0" collapsed="false">
      <c r="A5" s="7" t="s">
        <v>50</v>
      </c>
      <c r="B5" s="25" t="n">
        <f aca="false">AVERAGEIF(RawData!F3:F68,"Yes",RawData!B3:B68)</f>
        <v>37381.25</v>
      </c>
      <c r="C5" s="25" t="n">
        <f aca="false">AVERAGEIF(RawData!F3:F68,"No",RawData!B3:B68)</f>
        <v>38555.8823529412</v>
      </c>
      <c r="D5" s="25" t="n">
        <f aca="false">AVERAGE(RawData!B3:B68)</f>
        <v>37986.3636363636</v>
      </c>
    </row>
    <row r="6" customFormat="false" ht="18" hidden="false" customHeight="true" outlineLevel="0" collapsed="false">
      <c r="A6" s="4" t="s">
        <v>51</v>
      </c>
      <c r="B6" s="26" t="n">
        <f aca="false">SQRT((SUMPRODUCT((RawData!F3:F68="Yes")*RawData!B3:B68^2)-SUMPRODUCT((RawData!F3:F68="Yes")*RawData!B3:B68)^2/COUNTIF(RawData!F3:F68,"Yes"))/(COUNTIF(RawData!F3:F68,"Yes")-1))</f>
        <v>1805.98244195373</v>
      </c>
      <c r="C6" s="26" t="n">
        <f aca="false">SQRT((SUMPRODUCT((RawData!F3:F68="No")*RawData!B3:B68^2)-SUMPRODUCT((RawData!F3:F68="No")*RawData!B3:B68)^2/COUNTIF(RawData!F3:F68,"No"))/(COUNTIF(RawData!F3:F68,"No")-1))</f>
        <v>1887.14810911591</v>
      </c>
      <c r="D6" s="26" t="n">
        <f aca="false">STDEV(RawData!B3:B68)</f>
        <v>1927.04527619449</v>
      </c>
    </row>
    <row r="7" customFormat="false" ht="18" hidden="false" customHeight="true" outlineLevel="0" collapsed="false">
      <c r="A7" s="7" t="s">
        <v>52</v>
      </c>
      <c r="B7" s="25" t="n">
        <f aca="false">B6/SQRT(B4)</f>
        <v>319.255607852331</v>
      </c>
      <c r="C7" s="25" t="n">
        <f aca="false">C6/SQRT(C4)</f>
        <v>323.643230667739</v>
      </c>
      <c r="D7" s="25" t="n">
        <f aca="false">D6/SQRT(D4)</f>
        <v>237.20287623146</v>
      </c>
    </row>
    <row r="8" customFormat="false" ht="18" hidden="false" customHeight="true" outlineLevel="0" collapsed="false">
      <c r="A8" s="4" t="s">
        <v>53</v>
      </c>
      <c r="B8" s="24" t="n">
        <f aca="false">B4-1</f>
        <v>31</v>
      </c>
      <c r="C8" s="24" t="n">
        <f aca="false">C4-1</f>
        <v>33</v>
      </c>
      <c r="D8" s="24" t="n">
        <f aca="false">D4-1</f>
        <v>65</v>
      </c>
    </row>
    <row r="9" customFormat="false" ht="18" hidden="false" customHeight="true" outlineLevel="0" collapsed="false">
      <c r="A9" s="7" t="s">
        <v>54</v>
      </c>
      <c r="B9" s="27" t="n">
        <f aca="false">TINV(0.05,B8)</f>
        <v>2.03951344639641</v>
      </c>
      <c r="C9" s="27" t="n">
        <f aca="false">TINV(0.05,C8)</f>
        <v>2.03451529744934</v>
      </c>
      <c r="D9" s="27" t="n">
        <f aca="false">TINV(0.05,D8)</f>
        <v>1.997137908392</v>
      </c>
    </row>
    <row r="10" customFormat="false" ht="18" hidden="false" customHeight="true" outlineLevel="0" collapsed="false">
      <c r="A10" s="4" t="s">
        <v>55</v>
      </c>
      <c r="B10" s="26" t="n">
        <f aca="false">B9*B7</f>
        <v>651.126105052288</v>
      </c>
      <c r="C10" s="26" t="n">
        <f aca="false">C9*C7</f>
        <v>658.457103709439</v>
      </c>
      <c r="D10" s="26" t="n">
        <f aca="false">D9*D7</f>
        <v>473.726856101465</v>
      </c>
    </row>
    <row r="11" customFormat="false" ht="18" hidden="false" customHeight="true" outlineLevel="0" collapsed="false">
      <c r="A11" s="28" t="s">
        <v>56</v>
      </c>
      <c r="B11" s="5" t="n">
        <f aca="false">B5-B10</f>
        <v>36730.1238949477</v>
      </c>
      <c r="C11" s="5" t="n">
        <f aca="false">C5-C10</f>
        <v>37897.4252492317</v>
      </c>
      <c r="D11" s="5" t="n">
        <f aca="false">D5-D10</f>
        <v>37512.6367802622</v>
      </c>
    </row>
    <row r="12" customFormat="false" ht="18" hidden="false" customHeight="true" outlineLevel="0" collapsed="false">
      <c r="A12" s="28" t="s">
        <v>57</v>
      </c>
      <c r="B12" s="5" t="n">
        <f aca="false">B5+B10</f>
        <v>38032.3761050523</v>
      </c>
      <c r="C12" s="5" t="n">
        <f aca="false">C5+C10</f>
        <v>39214.3394566506</v>
      </c>
      <c r="D12" s="5" t="n">
        <f aca="false">D5+D10</f>
        <v>38460.0904924651</v>
      </c>
    </row>
    <row r="13" customFormat="false" ht="15" hidden="false" customHeight="false" outlineLevel="0" collapsed="false">
      <c r="A13" s="29" t="s">
        <v>58</v>
      </c>
      <c r="B13" s="29"/>
      <c r="C13" s="29"/>
      <c r="D13" s="29"/>
    </row>
    <row r="15" customFormat="false" ht="21.75" hidden="false" customHeight="true" outlineLevel="0" collapsed="false">
      <c r="A15" s="30" t="s">
        <v>59</v>
      </c>
      <c r="B15" s="30"/>
      <c r="C15" s="30"/>
      <c r="D15" s="30"/>
    </row>
    <row r="16" customFormat="false" ht="18" hidden="false" customHeight="true" outlineLevel="0" collapsed="false">
      <c r="A16" s="4" t="s">
        <v>60</v>
      </c>
      <c r="B16" s="26" t="n">
        <f aca="false">B5</f>
        <v>37381.25</v>
      </c>
      <c r="C16" s="31"/>
      <c r="D16" s="31"/>
    </row>
    <row r="17" customFormat="false" ht="18" hidden="false" customHeight="true" outlineLevel="0" collapsed="false">
      <c r="A17" s="7" t="s">
        <v>61</v>
      </c>
      <c r="B17" s="25" t="n">
        <f aca="false">C5</f>
        <v>38555.8823529412</v>
      </c>
      <c r="C17" s="31"/>
      <c r="D17" s="31"/>
    </row>
    <row r="18" customFormat="false" ht="18" hidden="false" customHeight="true" outlineLevel="0" collapsed="false">
      <c r="A18" s="4" t="s">
        <v>62</v>
      </c>
      <c r="B18" s="26" t="n">
        <f aca="false">B16-B17</f>
        <v>-1174.63235294117</v>
      </c>
      <c r="C18" s="31"/>
      <c r="D18" s="31"/>
    </row>
    <row r="19" customFormat="false" ht="18" hidden="false" customHeight="true" outlineLevel="0" collapsed="false">
      <c r="A19" s="7" t="s">
        <v>63</v>
      </c>
      <c r="B19" s="25" t="n">
        <f aca="false">SQRT(B6^2/B4+C6^2/C4)</f>
        <v>454.608715163065</v>
      </c>
      <c r="C19" s="31"/>
      <c r="D19" s="31"/>
    </row>
    <row r="20" customFormat="false" ht="18" hidden="false" customHeight="true" outlineLevel="0" collapsed="false">
      <c r="A20" s="4" t="s">
        <v>64</v>
      </c>
      <c r="B20" s="32" t="n">
        <f aca="false">(B6^2/B4+C6^2/C4)^2/((B6^2/B4)^2/(B4-1)+(C6^2/C4)^2/(C4-1))</f>
        <v>63.9801595652603</v>
      </c>
      <c r="C20" s="31"/>
      <c r="D20" s="31"/>
    </row>
    <row r="21" customFormat="false" ht="18" hidden="false" customHeight="true" outlineLevel="0" collapsed="false">
      <c r="A21" s="7" t="s">
        <v>65</v>
      </c>
      <c r="B21" s="27" t="n">
        <f aca="false">TINV(0.05,B20)</f>
        <v>1.99834054252074</v>
      </c>
      <c r="C21" s="31"/>
      <c r="D21" s="31"/>
    </row>
    <row r="22" customFormat="false" ht="18" hidden="false" customHeight="true" outlineLevel="0" collapsed="false">
      <c r="A22" s="4" t="s">
        <v>55</v>
      </c>
      <c r="B22" s="26" t="n">
        <f aca="false">B21*B19</f>
        <v>908.463026493617</v>
      </c>
      <c r="C22" s="31"/>
      <c r="D22" s="31"/>
    </row>
    <row r="23" customFormat="false" ht="18" hidden="false" customHeight="true" outlineLevel="0" collapsed="false">
      <c r="A23" s="28" t="s">
        <v>56</v>
      </c>
      <c r="B23" s="5" t="n">
        <f aca="false">B18-B22</f>
        <v>-2083.09537943479</v>
      </c>
      <c r="C23" s="31"/>
      <c r="D23" s="31"/>
    </row>
    <row r="24" customFormat="false" ht="18" hidden="false" customHeight="true" outlineLevel="0" collapsed="false">
      <c r="A24" s="28" t="s">
        <v>57</v>
      </c>
      <c r="B24" s="5" t="n">
        <f aca="false">B18+B22</f>
        <v>-266.169326447558</v>
      </c>
      <c r="C24" s="31"/>
      <c r="D24" s="31"/>
    </row>
    <row r="26" customFormat="false" ht="54.75" hidden="false" customHeight="true" outlineLevel="0" collapsed="false">
      <c r="A26" s="33" t="s">
        <v>66</v>
      </c>
      <c r="B26" s="33"/>
      <c r="C26" s="33"/>
      <c r="D26" s="33"/>
    </row>
  </sheetData>
  <mergeCells count="13">
    <mergeCell ref="A1:D1"/>
    <mergeCell ref="A13:D13"/>
    <mergeCell ref="A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A26:D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</cols>
  <sheetData>
    <row r="1" customFormat="false" ht="34.5" hidden="false" customHeight="true" outlineLevel="0" collapsed="false">
      <c r="A1" s="23" t="s">
        <v>67</v>
      </c>
      <c r="B1" s="23"/>
      <c r="C1" s="23"/>
    </row>
    <row r="3" customFormat="false" ht="21.75" hidden="false" customHeight="true" outlineLevel="0" collapsed="false">
      <c r="A3" s="3" t="s">
        <v>68</v>
      </c>
      <c r="B3" s="3"/>
      <c r="C3" s="3"/>
    </row>
    <row r="4" customFormat="false" ht="18" hidden="false" customHeight="true" outlineLevel="0" collapsed="false">
      <c r="A4" s="4" t="s">
        <v>69</v>
      </c>
      <c r="B4" s="26" t="n">
        <v>37500</v>
      </c>
      <c r="C4" s="4" t="s">
        <v>70</v>
      </c>
    </row>
    <row r="6" customFormat="false" ht="21.75" hidden="false" customHeight="true" outlineLevel="0" collapsed="false">
      <c r="A6" s="3" t="s">
        <v>45</v>
      </c>
      <c r="B6" s="3" t="s">
        <v>71</v>
      </c>
      <c r="C6" s="3" t="s">
        <v>72</v>
      </c>
    </row>
    <row r="7" customFormat="false" ht="18" hidden="false" customHeight="true" outlineLevel="0" collapsed="false">
      <c r="A7" s="4" t="s">
        <v>73</v>
      </c>
      <c r="B7" s="24" t="n">
        <f aca="false">COUNTIF(RawData!B3:B68,"&lt;="&amp;B4)</f>
        <v>29</v>
      </c>
      <c r="C7" s="24" t="n">
        <f aca="false">COUNTIF(RawData!B3:B68,"&gt;"&amp;B4)</f>
        <v>37</v>
      </c>
    </row>
    <row r="8" customFormat="false" ht="18" hidden="false" customHeight="true" outlineLevel="0" collapsed="false">
      <c r="A8" s="7" t="s">
        <v>74</v>
      </c>
      <c r="B8" s="34" t="n">
        <f aca="false">SUMPRODUCT((RawData!B3:B68&lt;=B4)*(RawData!F3:F68="Yes"))</f>
        <v>18</v>
      </c>
      <c r="C8" s="34" t="n">
        <f aca="false">SUMPRODUCT((RawData!B3:B68&gt;B4)*(RawData!F3:F68="Yes"))</f>
        <v>14</v>
      </c>
    </row>
    <row r="9" customFormat="false" ht="18" hidden="false" customHeight="true" outlineLevel="0" collapsed="false">
      <c r="A9" s="4" t="s">
        <v>75</v>
      </c>
      <c r="B9" s="35" t="n">
        <f aca="false">B8/B7</f>
        <v>0.620689655172414</v>
      </c>
      <c r="C9" s="35" t="n">
        <f aca="false">C8/C7</f>
        <v>0.378378378378378</v>
      </c>
    </row>
    <row r="10" customFormat="false" ht="18" hidden="false" customHeight="true" outlineLevel="0" collapsed="false">
      <c r="A10" s="7" t="s">
        <v>76</v>
      </c>
      <c r="B10" s="27" t="n">
        <f aca="false">SQRT(B9*(1-B9)/B7)</f>
        <v>0.0901022421425571</v>
      </c>
      <c r="C10" s="27" t="n">
        <f aca="false">SQRT(C9*(1-C9)/C7)</f>
        <v>0.0797306582754116</v>
      </c>
    </row>
    <row r="11" customFormat="false" ht="18" hidden="false" customHeight="true" outlineLevel="0" collapsed="false">
      <c r="A11" s="4" t="s">
        <v>77</v>
      </c>
      <c r="B11" s="36" t="n">
        <f aca="false">NORMINV(0.975,0,1)</f>
        <v>1.95996398454005</v>
      </c>
      <c r="C11" s="36" t="n">
        <f aca="false">NORMINV(0.975,0,1)</f>
        <v>1.95996398454005</v>
      </c>
    </row>
    <row r="12" customFormat="false" ht="18" hidden="false" customHeight="true" outlineLevel="0" collapsed="false">
      <c r="A12" s="7" t="s">
        <v>55</v>
      </c>
      <c r="B12" s="22" t="n">
        <f aca="false">B11*B10</f>
        <v>0.176597149525719</v>
      </c>
      <c r="C12" s="22" t="n">
        <f aca="false">C11*C10</f>
        <v>0.156269218683477</v>
      </c>
    </row>
    <row r="13" customFormat="false" ht="18" hidden="false" customHeight="true" outlineLevel="0" collapsed="false">
      <c r="A13" s="28" t="s">
        <v>56</v>
      </c>
      <c r="B13" s="9" t="n">
        <f aca="false">B9-B12</f>
        <v>0.444092505646695</v>
      </c>
      <c r="C13" s="9" t="n">
        <f aca="false">C9-C12</f>
        <v>0.222109159694901</v>
      </c>
    </row>
    <row r="14" customFormat="false" ht="18" hidden="false" customHeight="true" outlineLevel="0" collapsed="false">
      <c r="A14" s="28" t="s">
        <v>57</v>
      </c>
      <c r="B14" s="9" t="n">
        <f aca="false">B9+B12</f>
        <v>0.797286804698133</v>
      </c>
      <c r="C14" s="9" t="n">
        <f aca="false">C9+C12</f>
        <v>0.534647597061856</v>
      </c>
    </row>
    <row r="17" customFormat="false" ht="21.75" hidden="false" customHeight="true" outlineLevel="0" collapsed="false">
      <c r="A17" s="30" t="s">
        <v>78</v>
      </c>
      <c r="B17" s="30"/>
      <c r="C17" s="30"/>
    </row>
    <row r="18" customFormat="false" ht="18" hidden="false" customHeight="true" outlineLevel="0" collapsed="false">
      <c r="A18" s="4" t="s">
        <v>79</v>
      </c>
      <c r="B18" s="35" t="n">
        <f aca="false">B9</f>
        <v>0.620689655172414</v>
      </c>
    </row>
    <row r="19" customFormat="false" ht="18" hidden="false" customHeight="true" outlineLevel="0" collapsed="false">
      <c r="A19" s="7" t="s">
        <v>80</v>
      </c>
      <c r="B19" s="22" t="n">
        <f aca="false">C9</f>
        <v>0.378378378378378</v>
      </c>
    </row>
    <row r="20" customFormat="false" ht="18" hidden="false" customHeight="true" outlineLevel="0" collapsed="false">
      <c r="A20" s="4" t="s">
        <v>81</v>
      </c>
      <c r="B20" s="35" t="n">
        <f aca="false">B18-B19</f>
        <v>0.242311276794035</v>
      </c>
    </row>
    <row r="21" customFormat="false" ht="18" hidden="false" customHeight="true" outlineLevel="0" collapsed="false">
      <c r="A21" s="7" t="s">
        <v>82</v>
      </c>
      <c r="B21" s="27" t="n">
        <f aca="false">SQRT(B10^2+C10^2)</f>
        <v>0.12031372285881</v>
      </c>
    </row>
    <row r="22" customFormat="false" ht="18" hidden="false" customHeight="true" outlineLevel="0" collapsed="false">
      <c r="A22" s="4" t="s">
        <v>83</v>
      </c>
      <c r="B22" s="36" t="n">
        <f aca="false">NORMINV(0.975,0,1)</f>
        <v>1.95996398454005</v>
      </c>
    </row>
    <row r="23" customFormat="false" ht="18" hidden="false" customHeight="true" outlineLevel="0" collapsed="false">
      <c r="A23" s="7" t="s">
        <v>55</v>
      </c>
      <c r="B23" s="22" t="n">
        <f aca="false">B22*B21</f>
        <v>0.2358105636492</v>
      </c>
    </row>
    <row r="24" customFormat="false" ht="18" hidden="false" customHeight="true" outlineLevel="0" collapsed="false">
      <c r="A24" s="28" t="s">
        <v>56</v>
      </c>
      <c r="B24" s="9" t="n">
        <f aca="false">B20-B23</f>
        <v>0.00650071314483514</v>
      </c>
    </row>
    <row r="25" customFormat="false" ht="18" hidden="false" customHeight="true" outlineLevel="0" collapsed="false">
      <c r="A25" s="28" t="s">
        <v>57</v>
      </c>
      <c r="B25" s="9" t="n">
        <f aca="false">B20+B23</f>
        <v>0.478121840443236</v>
      </c>
    </row>
    <row r="27" customFormat="false" ht="54.75" hidden="false" customHeight="true" outlineLevel="0" collapsed="false">
      <c r="A27" s="33" t="s">
        <v>84</v>
      </c>
      <c r="B27" s="33"/>
      <c r="C27" s="33"/>
    </row>
  </sheetData>
  <mergeCells count="4">
    <mergeCell ref="A1:C1"/>
    <mergeCell ref="A3:C3"/>
    <mergeCell ref="A17:C17"/>
    <mergeCell ref="A27:C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8"/>
  </cols>
  <sheetData>
    <row r="1" customFormat="false" ht="31.5" hidden="false" customHeight="true" outlineLevel="0" collapsed="false">
      <c r="A1" s="23" t="s">
        <v>85</v>
      </c>
      <c r="B1" s="23"/>
      <c r="C1" s="23"/>
      <c r="D1" s="23"/>
    </row>
    <row r="3" customFormat="false" ht="21.75" hidden="false" customHeight="true" outlineLevel="0" collapsed="false">
      <c r="A3" s="3" t="s">
        <v>45</v>
      </c>
      <c r="B3" s="3" t="s">
        <v>46</v>
      </c>
      <c r="C3" s="3" t="s">
        <v>47</v>
      </c>
      <c r="D3" s="3" t="s">
        <v>48</v>
      </c>
    </row>
    <row r="4" customFormat="false" ht="18" hidden="false" customHeight="true" outlineLevel="0" collapsed="false">
      <c r="A4" s="4" t="s">
        <v>49</v>
      </c>
      <c r="B4" s="24" t="n">
        <f aca="false">COUNTIF(RawData!F3:F68,"Yes")</f>
        <v>32</v>
      </c>
      <c r="C4" s="24" t="n">
        <f aca="false">COUNTIF(RawData!F3:F68,"No")</f>
        <v>34</v>
      </c>
      <c r="D4" s="24" t="n">
        <f aca="false">COUNT(RawData!C3:C68)</f>
        <v>66</v>
      </c>
    </row>
    <row r="5" customFormat="false" ht="18" hidden="false" customHeight="true" outlineLevel="0" collapsed="false">
      <c r="A5" s="7" t="s">
        <v>50</v>
      </c>
      <c r="B5" s="22" t="n">
        <f aca="false">AVERAGEIF(RawData!F3:F68,"Yes",RawData!C3:C68)</f>
        <v>0.4503125</v>
      </c>
      <c r="C5" s="22" t="n">
        <f aca="false">AVERAGEIF(RawData!F3:F68,"No",RawData!C3:C68)</f>
        <v>0.586764705882353</v>
      </c>
      <c r="D5" s="22" t="n">
        <f aca="false">AVERAGE(RawData!C3:C68)</f>
        <v>0.520606060606061</v>
      </c>
    </row>
    <row r="6" customFormat="false" ht="18" hidden="false" customHeight="true" outlineLevel="0" collapsed="false">
      <c r="A6" s="4" t="s">
        <v>51</v>
      </c>
      <c r="B6" s="35" t="n">
        <f aca="false">SQRT((SUMPRODUCT((RawData!F3:F68="Yes")*RawData!C3:C68^2)-SUMPRODUCT((RawData!F3:F68="Yes")*RawData!C3:C68)^2/COUNTIF(RawData!F3:F68,"Yes"))/(COUNTIF(RawData!F3:F68,"Yes")-1))</f>
        <v>0.166549118493518</v>
      </c>
      <c r="C6" s="35" t="n">
        <f aca="false">SQRT((SUMPRODUCT((RawData!F3:F68="No")*RawData!C3:C68^2)-SUMPRODUCT((RawData!F3:F68="No")*RawData!C3:C68)^2/COUNTIF(RawData!F3:F68,"No"))/(COUNTIF(RawData!F3:F68,"No")-1))</f>
        <v>0.165157786598614</v>
      </c>
      <c r="D6" s="35" t="n">
        <f aca="false">STDEV(RawData!C3:C68)</f>
        <v>0.178324499269245</v>
      </c>
    </row>
    <row r="7" customFormat="false" ht="18" hidden="false" customHeight="true" outlineLevel="0" collapsed="false">
      <c r="A7" s="7" t="s">
        <v>52</v>
      </c>
      <c r="B7" s="22" t="n">
        <f aca="false">B6/SQRT(B4)</f>
        <v>0.029442002771852</v>
      </c>
      <c r="C7" s="22" t="n">
        <f aca="false">C6/SQRT(C4)</f>
        <v>0.0283243267269307</v>
      </c>
      <c r="D7" s="22" t="n">
        <f aca="false">D6/SQRT(D4)</f>
        <v>0.0219502284931943</v>
      </c>
    </row>
    <row r="8" customFormat="false" ht="18" hidden="false" customHeight="true" outlineLevel="0" collapsed="false">
      <c r="A8" s="4" t="s">
        <v>53</v>
      </c>
      <c r="B8" s="24" t="n">
        <f aca="false">B4-1</f>
        <v>31</v>
      </c>
      <c r="C8" s="24" t="n">
        <f aca="false">C4-1</f>
        <v>33</v>
      </c>
      <c r="D8" s="24" t="n">
        <f aca="false">D4-1</f>
        <v>65</v>
      </c>
    </row>
    <row r="9" customFormat="false" ht="18" hidden="false" customHeight="true" outlineLevel="0" collapsed="false">
      <c r="A9" s="7" t="s">
        <v>54</v>
      </c>
      <c r="B9" s="27" t="n">
        <f aca="false">TINV(0.05,B8)</f>
        <v>2.03951344639641</v>
      </c>
      <c r="C9" s="27" t="n">
        <f aca="false">TINV(0.05,C8)</f>
        <v>2.03451529744934</v>
      </c>
      <c r="D9" s="27" t="n">
        <f aca="false">TINV(0.05,D8)</f>
        <v>1.997137908392</v>
      </c>
    </row>
    <row r="10" customFormat="false" ht="18" hidden="false" customHeight="true" outlineLevel="0" collapsed="false">
      <c r="A10" s="4" t="s">
        <v>55</v>
      </c>
      <c r="B10" s="35" t="n">
        <f aca="false">B9*B7</f>
        <v>0.0600473605420325</v>
      </c>
      <c r="C10" s="35" t="n">
        <f aca="false">C9*C7</f>
        <v>0.0576262760158937</v>
      </c>
      <c r="D10" s="35" t="n">
        <f aca="false">D9*D7</f>
        <v>0.0438376334216247</v>
      </c>
    </row>
    <row r="11" customFormat="false" ht="18" hidden="false" customHeight="true" outlineLevel="0" collapsed="false">
      <c r="A11" s="28" t="s">
        <v>56</v>
      </c>
      <c r="B11" s="9" t="n">
        <f aca="false">B5-B10</f>
        <v>0.390265139457968</v>
      </c>
      <c r="C11" s="9" t="n">
        <f aca="false">C5-C10</f>
        <v>0.529138429866459</v>
      </c>
      <c r="D11" s="9" t="n">
        <f aca="false">D5-D10</f>
        <v>0.476768427184436</v>
      </c>
    </row>
    <row r="12" customFormat="false" ht="18" hidden="false" customHeight="true" outlineLevel="0" collapsed="false">
      <c r="A12" s="28" t="s">
        <v>57</v>
      </c>
      <c r="B12" s="9" t="n">
        <f aca="false">B5+B10</f>
        <v>0.510359860542033</v>
      </c>
      <c r="C12" s="9" t="n">
        <f aca="false">C5+C10</f>
        <v>0.644390981898247</v>
      </c>
      <c r="D12" s="9" t="n">
        <f aca="false">D5+D10</f>
        <v>0.564443694027685</v>
      </c>
    </row>
    <row r="13" customFormat="false" ht="15" hidden="false" customHeight="false" outlineLevel="0" collapsed="false">
      <c r="A13" s="29" t="s">
        <v>58</v>
      </c>
      <c r="B13" s="29"/>
      <c r="C13" s="29"/>
      <c r="D13" s="29"/>
    </row>
    <row r="15" customFormat="false" ht="21.75" hidden="false" customHeight="true" outlineLevel="0" collapsed="false">
      <c r="A15" s="30" t="s">
        <v>59</v>
      </c>
      <c r="B15" s="30"/>
      <c r="C15" s="30"/>
      <c r="D15" s="30"/>
    </row>
    <row r="16" customFormat="false" ht="18" hidden="false" customHeight="true" outlineLevel="0" collapsed="false">
      <c r="A16" s="4" t="s">
        <v>60</v>
      </c>
      <c r="B16" s="35" t="n">
        <f aca="false">B5</f>
        <v>0.4503125</v>
      </c>
      <c r="C16" s="31"/>
      <c r="D16" s="31"/>
    </row>
    <row r="17" customFormat="false" ht="18" hidden="false" customHeight="true" outlineLevel="0" collapsed="false">
      <c r="A17" s="7" t="s">
        <v>61</v>
      </c>
      <c r="B17" s="22" t="n">
        <f aca="false">C5</f>
        <v>0.586764705882353</v>
      </c>
      <c r="C17" s="31"/>
      <c r="D17" s="31"/>
    </row>
    <row r="18" customFormat="false" ht="18" hidden="false" customHeight="true" outlineLevel="0" collapsed="false">
      <c r="A18" s="4" t="s">
        <v>62</v>
      </c>
      <c r="B18" s="35" t="n">
        <f aca="false">B16-B17</f>
        <v>-0.136452205882353</v>
      </c>
      <c r="C18" s="31"/>
      <c r="D18" s="31"/>
    </row>
    <row r="19" customFormat="false" ht="18" hidden="false" customHeight="true" outlineLevel="0" collapsed="false">
      <c r="A19" s="7" t="s">
        <v>63</v>
      </c>
      <c r="B19" s="22" t="n">
        <f aca="false">SQRT(B6^2/B4+C6^2/C4)</f>
        <v>0.0408546082070513</v>
      </c>
      <c r="C19" s="31"/>
      <c r="D19" s="31"/>
    </row>
    <row r="20" customFormat="false" ht="18" hidden="false" customHeight="true" outlineLevel="0" collapsed="false">
      <c r="A20" s="4" t="s">
        <v>64</v>
      </c>
      <c r="B20" s="32" t="n">
        <f aca="false">(B6^2/B4+C6^2/C4)^2/((B6^2/B4)^2/(B4-1)+(C6^2/C4)^2/(C4-1))</f>
        <v>63.6882294713319</v>
      </c>
      <c r="C20" s="31"/>
      <c r="D20" s="31"/>
    </row>
    <row r="21" customFormat="false" ht="18" hidden="false" customHeight="true" outlineLevel="0" collapsed="false">
      <c r="A21" s="7" t="s">
        <v>65</v>
      </c>
      <c r="B21" s="27" t="n">
        <f aca="false">TINV(0.05,B20)</f>
        <v>1.99834054252074</v>
      </c>
      <c r="C21" s="31"/>
      <c r="D21" s="31"/>
    </row>
    <row r="22" customFormat="false" ht="18" hidden="false" customHeight="true" outlineLevel="0" collapsed="false">
      <c r="A22" s="4" t="s">
        <v>55</v>
      </c>
      <c r="B22" s="35" t="n">
        <f aca="false">B21*B19</f>
        <v>0.0816414199289514</v>
      </c>
      <c r="C22" s="31"/>
      <c r="D22" s="31"/>
    </row>
    <row r="23" customFormat="false" ht="18" hidden="false" customHeight="true" outlineLevel="0" collapsed="false">
      <c r="A23" s="28" t="s">
        <v>56</v>
      </c>
      <c r="B23" s="9" t="n">
        <f aca="false">B18-B22</f>
        <v>-0.218093625811304</v>
      </c>
      <c r="C23" s="31"/>
      <c r="D23" s="31"/>
    </row>
    <row r="24" customFormat="false" ht="18" hidden="false" customHeight="true" outlineLevel="0" collapsed="false">
      <c r="A24" s="28" t="s">
        <v>57</v>
      </c>
      <c r="B24" s="9" t="n">
        <f aca="false">B18+B22</f>
        <v>-0.0548107859534016</v>
      </c>
      <c r="C24" s="31"/>
      <c r="D24" s="31"/>
    </row>
    <row r="26" customFormat="false" ht="54.75" hidden="false" customHeight="true" outlineLevel="0" collapsed="false">
      <c r="A26" s="33" t="s">
        <v>86</v>
      </c>
      <c r="B26" s="33"/>
      <c r="C26" s="33"/>
      <c r="D26" s="33"/>
    </row>
  </sheetData>
  <mergeCells count="13">
    <mergeCell ref="A1:D1"/>
    <mergeCell ref="A13:D13"/>
    <mergeCell ref="A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A26:D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</cols>
  <sheetData>
    <row r="1" customFormat="false" ht="34.5" hidden="false" customHeight="true" outlineLevel="0" collapsed="false">
      <c r="A1" s="23" t="s">
        <v>87</v>
      </c>
      <c r="B1" s="23"/>
      <c r="C1" s="23"/>
    </row>
    <row r="3" customFormat="false" ht="21.75" hidden="false" customHeight="true" outlineLevel="0" collapsed="false">
      <c r="A3" s="3" t="s">
        <v>68</v>
      </c>
      <c r="B3" s="3"/>
      <c r="C3" s="3"/>
    </row>
    <row r="4" customFormat="false" ht="18" hidden="false" customHeight="true" outlineLevel="0" collapsed="false">
      <c r="A4" s="4" t="s">
        <v>69</v>
      </c>
      <c r="B4" s="35" t="n">
        <v>0.54</v>
      </c>
      <c r="C4" s="4" t="s">
        <v>88</v>
      </c>
    </row>
    <row r="6" customFormat="false" ht="21.75" hidden="false" customHeight="true" outlineLevel="0" collapsed="false">
      <c r="A6" s="3" t="s">
        <v>45</v>
      </c>
      <c r="B6" s="3" t="s">
        <v>89</v>
      </c>
      <c r="C6" s="3" t="s">
        <v>90</v>
      </c>
    </row>
    <row r="7" customFormat="false" ht="18" hidden="false" customHeight="true" outlineLevel="0" collapsed="false">
      <c r="A7" s="4" t="s">
        <v>73</v>
      </c>
      <c r="B7" s="24" t="n">
        <f aca="false">COUNTIF(RawData!C3:C68,"&lt;="&amp;B4)</f>
        <v>33</v>
      </c>
      <c r="C7" s="24" t="n">
        <f aca="false">COUNTIF(RawData!C3:C68,"&gt;"&amp;B4)</f>
        <v>33</v>
      </c>
    </row>
    <row r="8" customFormat="false" ht="18" hidden="false" customHeight="true" outlineLevel="0" collapsed="false">
      <c r="A8" s="7" t="s">
        <v>74</v>
      </c>
      <c r="B8" s="34" t="n">
        <f aca="false">SUMPRODUCT((RawData!C3:C68&lt;=B4)*(RawData!F3:F68="Yes"))</f>
        <v>21</v>
      </c>
      <c r="C8" s="34" t="n">
        <f aca="false">SUMPRODUCT((RawData!C3:C68&gt;B4)*(RawData!F3:F68="Yes"))</f>
        <v>11</v>
      </c>
    </row>
    <row r="9" customFormat="false" ht="18" hidden="false" customHeight="true" outlineLevel="0" collapsed="false">
      <c r="A9" s="4" t="s">
        <v>75</v>
      </c>
      <c r="B9" s="35" t="n">
        <f aca="false">B8/B7</f>
        <v>0.636363636363636</v>
      </c>
      <c r="C9" s="35" t="n">
        <f aca="false">C8/C7</f>
        <v>0.333333333333333</v>
      </c>
    </row>
    <row r="10" customFormat="false" ht="18" hidden="false" customHeight="true" outlineLevel="0" collapsed="false">
      <c r="A10" s="7" t="s">
        <v>76</v>
      </c>
      <c r="B10" s="27" t="n">
        <f aca="false">SQRT(B9*(1-B9)/B7)</f>
        <v>0.0837393066312433</v>
      </c>
      <c r="C10" s="27" t="n">
        <f aca="false">SQRT(C9*(1-C9)/C7)</f>
        <v>0.0820609939862218</v>
      </c>
    </row>
    <row r="11" customFormat="false" ht="18" hidden="false" customHeight="true" outlineLevel="0" collapsed="false">
      <c r="A11" s="4" t="s">
        <v>77</v>
      </c>
      <c r="B11" s="36" t="n">
        <f aca="false">NORMINV(0.975,0,1)</f>
        <v>1.95996398454005</v>
      </c>
      <c r="C11" s="36" t="n">
        <f aca="false">NORMINV(0.975,0,1)</f>
        <v>1.95996398454005</v>
      </c>
    </row>
    <row r="12" customFormat="false" ht="18" hidden="false" customHeight="true" outlineLevel="0" collapsed="false">
      <c r="A12" s="7" t="s">
        <v>55</v>
      </c>
      <c r="B12" s="22" t="n">
        <f aca="false">B11*B10</f>
        <v>0.164126025087593</v>
      </c>
      <c r="C12" s="22" t="n">
        <f aca="false">C11*C10</f>
        <v>0.160836592748553</v>
      </c>
    </row>
    <row r="13" customFormat="false" ht="18" hidden="false" customHeight="true" outlineLevel="0" collapsed="false">
      <c r="A13" s="28" t="s">
        <v>56</v>
      </c>
      <c r="B13" s="9" t="n">
        <f aca="false">B9-B12</f>
        <v>0.472237611276043</v>
      </c>
      <c r="C13" s="9" t="n">
        <f aca="false">C9-C12</f>
        <v>0.172496740584781</v>
      </c>
    </row>
    <row r="14" customFormat="false" ht="18" hidden="false" customHeight="true" outlineLevel="0" collapsed="false">
      <c r="A14" s="28" t="s">
        <v>57</v>
      </c>
      <c r="B14" s="9" t="n">
        <f aca="false">B9+B12</f>
        <v>0.800489661451229</v>
      </c>
      <c r="C14" s="9" t="n">
        <f aca="false">C9+C12</f>
        <v>0.494169926081886</v>
      </c>
    </row>
    <row r="17" customFormat="false" ht="21.75" hidden="false" customHeight="true" outlineLevel="0" collapsed="false">
      <c r="A17" s="30" t="s">
        <v>78</v>
      </c>
      <c r="B17" s="30"/>
      <c r="C17" s="30"/>
    </row>
    <row r="18" customFormat="false" ht="18" hidden="false" customHeight="true" outlineLevel="0" collapsed="false">
      <c r="A18" s="4" t="s">
        <v>79</v>
      </c>
      <c r="B18" s="35" t="n">
        <f aca="false">B9</f>
        <v>0.636363636363636</v>
      </c>
    </row>
    <row r="19" customFormat="false" ht="18" hidden="false" customHeight="true" outlineLevel="0" collapsed="false">
      <c r="A19" s="7" t="s">
        <v>80</v>
      </c>
      <c r="B19" s="22" t="n">
        <f aca="false">C9</f>
        <v>0.333333333333333</v>
      </c>
    </row>
    <row r="20" customFormat="false" ht="18" hidden="false" customHeight="true" outlineLevel="0" collapsed="false">
      <c r="A20" s="4" t="s">
        <v>81</v>
      </c>
      <c r="B20" s="35" t="n">
        <f aca="false">B18-B19</f>
        <v>0.303030303030303</v>
      </c>
    </row>
    <row r="21" customFormat="false" ht="18" hidden="false" customHeight="true" outlineLevel="0" collapsed="false">
      <c r="A21" s="7" t="s">
        <v>82</v>
      </c>
      <c r="B21" s="27" t="n">
        <f aca="false">SQRT(B10^2+C10^2)</f>
        <v>0.117244523151779</v>
      </c>
    </row>
    <row r="22" customFormat="false" ht="18" hidden="false" customHeight="true" outlineLevel="0" collapsed="false">
      <c r="A22" s="4" t="s">
        <v>83</v>
      </c>
      <c r="B22" s="36" t="n">
        <f aca="false">NORMINV(0.975,0,1)</f>
        <v>1.95996398454005</v>
      </c>
    </row>
    <row r="23" customFormat="false" ht="18" hidden="false" customHeight="true" outlineLevel="0" collapsed="false">
      <c r="A23" s="7" t="s">
        <v>55</v>
      </c>
      <c r="B23" s="22" t="n">
        <f aca="false">B22*B21</f>
        <v>0.22979504276206</v>
      </c>
    </row>
    <row r="24" customFormat="false" ht="18" hidden="false" customHeight="true" outlineLevel="0" collapsed="false">
      <c r="A24" s="28" t="s">
        <v>56</v>
      </c>
      <c r="B24" s="9" t="n">
        <f aca="false">B20-B23</f>
        <v>0.073235260268243</v>
      </c>
    </row>
    <row r="25" customFormat="false" ht="18" hidden="false" customHeight="true" outlineLevel="0" collapsed="false">
      <c r="A25" s="28" t="s">
        <v>57</v>
      </c>
      <c r="B25" s="9" t="n">
        <f aca="false">B20+B23</f>
        <v>0.532825345792363</v>
      </c>
    </row>
    <row r="27" customFormat="false" ht="54.75" hidden="false" customHeight="true" outlineLevel="0" collapsed="false">
      <c r="A27" s="33" t="s">
        <v>91</v>
      </c>
      <c r="B27" s="33"/>
      <c r="C27" s="33"/>
    </row>
  </sheetData>
  <mergeCells count="4">
    <mergeCell ref="A1:C1"/>
    <mergeCell ref="A3:C3"/>
    <mergeCell ref="A17:C17"/>
    <mergeCell ref="A27:C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8"/>
  </cols>
  <sheetData>
    <row r="1" customFormat="false" ht="31.5" hidden="false" customHeight="true" outlineLevel="0" collapsed="false">
      <c r="A1" s="23" t="s">
        <v>92</v>
      </c>
      <c r="B1" s="23"/>
    </row>
    <row r="3" customFormat="false" ht="21.75" hidden="false" customHeight="true" outlineLevel="0" collapsed="false">
      <c r="A3" s="3" t="s">
        <v>45</v>
      </c>
      <c r="B3" s="3" t="s">
        <v>93</v>
      </c>
    </row>
    <row r="4" customFormat="false" ht="18" hidden="false" customHeight="true" outlineLevel="0" collapsed="false">
      <c r="A4" s="4" t="s">
        <v>94</v>
      </c>
      <c r="B4" s="24" t="n">
        <f aca="false">COUNT(RawData!G3:G68)</f>
        <v>34</v>
      </c>
    </row>
    <row r="5" customFormat="false" ht="18" hidden="false" customHeight="true" outlineLevel="0" collapsed="false">
      <c r="A5" s="7" t="s">
        <v>95</v>
      </c>
      <c r="B5" s="37" t="n">
        <f aca="false">AVERAGE(IF(RawData!F3:F68="No",RawData!G3:G68))</f>
        <v>15.2941176470588</v>
      </c>
    </row>
    <row r="6" customFormat="false" ht="18" hidden="false" customHeight="true" outlineLevel="0" collapsed="false">
      <c r="A6" s="4" t="s">
        <v>96</v>
      </c>
      <c r="B6" s="32" t="n">
        <f aca="false">SQRT((SUMPRODUCT((RawData!F3:F68="No")*RawData!G3:G68^2)-SUMPRODUCT((RawData!F3:F68="No")*RawData!G3:G68)^2/COUNTIF(RawData!F3:F68,"No"))/(COUNTIF(RawData!F3:F68,"No")-1))</f>
        <v>6.62195344137054</v>
      </c>
    </row>
    <row r="7" customFormat="false" ht="18" hidden="false" customHeight="true" outlineLevel="0" collapsed="false">
      <c r="A7" s="7" t="s">
        <v>97</v>
      </c>
      <c r="B7" s="27" t="n">
        <f aca="false">B6/SQRT(B4)</f>
        <v>1.13565564607462</v>
      </c>
    </row>
    <row r="8" customFormat="false" ht="18" hidden="false" customHeight="true" outlineLevel="0" collapsed="false">
      <c r="A8" s="4" t="s">
        <v>53</v>
      </c>
      <c r="B8" s="24" t="n">
        <f aca="false">B4-1</f>
        <v>33</v>
      </c>
    </row>
    <row r="9" customFormat="false" ht="18" hidden="false" customHeight="true" outlineLevel="0" collapsed="false">
      <c r="A9" s="7" t="s">
        <v>98</v>
      </c>
      <c r="B9" s="27" t="n">
        <f aca="false">TINV(0.05,B8)</f>
        <v>2.03451529744934</v>
      </c>
    </row>
    <row r="10" customFormat="false" ht="18" hidden="false" customHeight="true" outlineLevel="0" collapsed="false">
      <c r="A10" s="4" t="s">
        <v>99</v>
      </c>
      <c r="B10" s="32" t="n">
        <f aca="false">B9*B7</f>
        <v>2.31050878457352</v>
      </c>
    </row>
    <row r="11" customFormat="false" ht="18" hidden="false" customHeight="true" outlineLevel="0" collapsed="false">
      <c r="A11" s="28" t="s">
        <v>100</v>
      </c>
      <c r="B11" s="10" t="n">
        <f aca="false">B5-B10</f>
        <v>12.9836088624853</v>
      </c>
    </row>
    <row r="12" customFormat="false" ht="18" hidden="false" customHeight="true" outlineLevel="0" collapsed="false">
      <c r="A12" s="28" t="s">
        <v>101</v>
      </c>
      <c r="B12" s="10" t="n">
        <f aca="false">B5+B10</f>
        <v>17.6046264316323</v>
      </c>
    </row>
    <row r="14" customFormat="false" ht="15" hidden="false" customHeight="false" outlineLevel="0" collapsed="false">
      <c r="A14" s="29" t="s">
        <v>102</v>
      </c>
      <c r="B14" s="29"/>
    </row>
    <row r="16" customFormat="false" ht="24.75" hidden="false" customHeight="true" outlineLevel="0" collapsed="false">
      <c r="A16" s="38" t="s">
        <v>103</v>
      </c>
      <c r="B16" s="38"/>
    </row>
    <row r="17" customFormat="false" ht="90" hidden="false" customHeight="true" outlineLevel="0" collapsed="false">
      <c r="A17" s="39" t="s">
        <v>104</v>
      </c>
      <c r="B17" s="39"/>
    </row>
  </sheetData>
  <mergeCells count="4">
    <mergeCell ref="A1:B1"/>
    <mergeCell ref="A14:B14"/>
    <mergeCell ref="A16:B16"/>
    <mergeCell ref="A17:B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</cols>
  <sheetData>
    <row r="1" customFormat="false" ht="34.5" hidden="false" customHeight="true" outlineLevel="0" collapsed="false">
      <c r="A1" s="23" t="s">
        <v>105</v>
      </c>
      <c r="B1" s="23"/>
      <c r="C1" s="23"/>
    </row>
    <row r="3" customFormat="false" ht="21.75" hidden="false" customHeight="true" outlineLevel="0" collapsed="false">
      <c r="A3" s="3" t="s">
        <v>45</v>
      </c>
      <c r="B3" s="3" t="s">
        <v>106</v>
      </c>
      <c r="C3" s="3" t="s">
        <v>107</v>
      </c>
    </row>
    <row r="4" customFormat="false" ht="18" hidden="false" customHeight="true" outlineLevel="0" collapsed="false">
      <c r="A4" s="4" t="s">
        <v>108</v>
      </c>
      <c r="B4" s="24" t="n">
        <f aca="false">COUNTIF(RawData!D3:D68,"Yes")</f>
        <v>27</v>
      </c>
      <c r="C4" s="24" t="n">
        <f aca="false">COUNTIF(RawData!D3:D68,"No")</f>
        <v>39</v>
      </c>
    </row>
    <row r="5" customFormat="false" ht="18" hidden="false" customHeight="true" outlineLevel="0" collapsed="false">
      <c r="A5" s="7" t="s">
        <v>109</v>
      </c>
      <c r="B5" s="34" t="n">
        <f aca="false">SUMPRODUCT((RawData!D3:D68="Yes")*(RawData!F3:F68="Yes"))</f>
        <v>13</v>
      </c>
      <c r="C5" s="34" t="n">
        <f aca="false">SUMPRODUCT((RawData!D3:D68="No")*(RawData!F3:F68="Yes"))</f>
        <v>19</v>
      </c>
    </row>
    <row r="6" customFormat="false" ht="18" hidden="false" customHeight="true" outlineLevel="0" collapsed="false">
      <c r="A6" s="4" t="s">
        <v>110</v>
      </c>
      <c r="B6" s="35" t="n">
        <f aca="false">B5/B4</f>
        <v>0.481481481481481</v>
      </c>
      <c r="C6" s="35" t="n">
        <f aca="false">C5/C4</f>
        <v>0.487179487179487</v>
      </c>
    </row>
    <row r="7" customFormat="false" ht="18" hidden="false" customHeight="true" outlineLevel="0" collapsed="false">
      <c r="A7" s="7" t="s">
        <v>76</v>
      </c>
      <c r="B7" s="27" t="n">
        <f aca="false">SQRT(B6*(1-B6)/B4)</f>
        <v>0.0961590242431928</v>
      </c>
      <c r="C7" s="27" t="n">
        <f aca="false">SQRT(C6*(1-C6)/C4)</f>
        <v>0.0800377530231858</v>
      </c>
    </row>
    <row r="8" customFormat="false" ht="18" hidden="false" customHeight="true" outlineLevel="0" collapsed="false">
      <c r="A8" s="4" t="s">
        <v>77</v>
      </c>
      <c r="B8" s="36" t="n">
        <f aca="false">NORMINV(0.975,0,1)</f>
        <v>1.95996398454005</v>
      </c>
      <c r="C8" s="36" t="n">
        <f aca="false">NORMINV(0.975,0,1)</f>
        <v>1.95996398454005</v>
      </c>
    </row>
    <row r="9" customFormat="false" ht="18" hidden="false" customHeight="true" outlineLevel="0" collapsed="false">
      <c r="A9" s="7" t="s">
        <v>55</v>
      </c>
      <c r="B9" s="22" t="n">
        <f aca="false">B8*B7</f>
        <v>0.188468224305172</v>
      </c>
      <c r="C9" s="22" t="n">
        <f aca="false">C8*C7</f>
        <v>0.156871113328956</v>
      </c>
    </row>
    <row r="10" customFormat="false" ht="18" hidden="false" customHeight="true" outlineLevel="0" collapsed="false">
      <c r="A10" s="28" t="s">
        <v>56</v>
      </c>
      <c r="B10" s="9" t="n">
        <f aca="false">B6-B9</f>
        <v>0.29301325717631</v>
      </c>
      <c r="C10" s="9" t="n">
        <f aca="false">C6-C9</f>
        <v>0.330308373850531</v>
      </c>
    </row>
    <row r="11" customFormat="false" ht="18" hidden="false" customHeight="true" outlineLevel="0" collapsed="false">
      <c r="A11" s="28" t="s">
        <v>57</v>
      </c>
      <c r="B11" s="9" t="n">
        <f aca="false">B6+B9</f>
        <v>0.669949705786653</v>
      </c>
      <c r="C11" s="9" t="n">
        <f aca="false">C6+C9</f>
        <v>0.644050600508443</v>
      </c>
    </row>
    <row r="14" customFormat="false" ht="21.75" hidden="false" customHeight="true" outlineLevel="0" collapsed="false">
      <c r="A14" s="30" t="s">
        <v>111</v>
      </c>
      <c r="B14" s="30"/>
      <c r="C14" s="30"/>
    </row>
    <row r="15" customFormat="false" ht="18" hidden="false" customHeight="true" outlineLevel="0" collapsed="false">
      <c r="A15" s="4" t="s">
        <v>112</v>
      </c>
      <c r="B15" s="35" t="n">
        <f aca="false">B6</f>
        <v>0.481481481481481</v>
      </c>
    </row>
    <row r="16" customFormat="false" ht="18" hidden="false" customHeight="true" outlineLevel="0" collapsed="false">
      <c r="A16" s="7" t="s">
        <v>113</v>
      </c>
      <c r="B16" s="22" t="n">
        <f aca="false">C6</f>
        <v>0.487179487179487</v>
      </c>
    </row>
    <row r="17" customFormat="false" ht="18" hidden="false" customHeight="true" outlineLevel="0" collapsed="false">
      <c r="A17" s="4" t="s">
        <v>81</v>
      </c>
      <c r="B17" s="35" t="n">
        <f aca="false">B15-B16</f>
        <v>-0.00569800569800572</v>
      </c>
    </row>
    <row r="18" customFormat="false" ht="18" hidden="false" customHeight="true" outlineLevel="0" collapsed="false">
      <c r="A18" s="7" t="s">
        <v>82</v>
      </c>
      <c r="B18" s="27" t="n">
        <f aca="false">SQRT(B7^2+C7^2)</f>
        <v>0.125110350700505</v>
      </c>
    </row>
    <row r="19" customFormat="false" ht="18" hidden="false" customHeight="true" outlineLevel="0" collapsed="false">
      <c r="A19" s="4" t="s">
        <v>83</v>
      </c>
      <c r="B19" s="36" t="n">
        <f aca="false">NORMINV(0.975,0,1)</f>
        <v>1.95996398454005</v>
      </c>
    </row>
    <row r="20" customFormat="false" ht="18" hidden="false" customHeight="true" outlineLevel="0" collapsed="false">
      <c r="A20" s="7" t="s">
        <v>55</v>
      </c>
      <c r="B20" s="22" t="n">
        <f aca="false">B19*B18</f>
        <v>0.245211781466166</v>
      </c>
    </row>
    <row r="21" customFormat="false" ht="18" hidden="false" customHeight="true" outlineLevel="0" collapsed="false">
      <c r="A21" s="28" t="s">
        <v>56</v>
      </c>
      <c r="B21" s="9" t="n">
        <f aca="false">B17-B20</f>
        <v>-0.250909787164172</v>
      </c>
    </row>
    <row r="22" customFormat="false" ht="18" hidden="false" customHeight="true" outlineLevel="0" collapsed="false">
      <c r="A22" s="28" t="s">
        <v>57</v>
      </c>
      <c r="B22" s="9" t="n">
        <f aca="false">B17+B20</f>
        <v>0.23951377576816</v>
      </c>
    </row>
    <row r="24" customFormat="false" ht="54.75" hidden="false" customHeight="true" outlineLevel="0" collapsed="false">
      <c r="A24" s="33" t="s">
        <v>114</v>
      </c>
      <c r="B24" s="33"/>
      <c r="C24" s="33"/>
    </row>
  </sheetData>
  <mergeCells count="3">
    <mergeCell ref="A1:C1"/>
    <mergeCell ref="A14:C14"/>
    <mergeCell ref="A24:C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2026-04-07T04:34:09Z</dcterms:created>
  <dc:creator>openpyxl</dc:creator>
  <dc:description/>
  <dc:language>en-US</dc:language>
  <cp:lastModifiedBy/>
  <dcterms:modified xsi:type="dcterms:W3CDTF">2026-04-07T04:34:09Z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